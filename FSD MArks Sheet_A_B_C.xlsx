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180" activeTab="5"/>
  </bookViews>
  <sheets>
    <sheet name="Theory Component" sheetId="10" r:id="rId1"/>
    <sheet name="Theory Component_Lab_modified" sheetId="16" r:id="rId2"/>
    <sheet name="Lab Component" sheetId="11" r:id="rId3"/>
    <sheet name="Lab_CIE" sheetId="3" r:id="rId4"/>
    <sheet name="Lab_CIA" sheetId="1" r:id="rId5"/>
    <sheet name="CIE+CIA" sheetId="8" r:id="rId6"/>
    <sheet name="TOTAL" sheetId="6" r:id="rId7"/>
    <sheet name="ATTENDANCE" sheetId="9" r:id="rId8"/>
    <sheet name="Sheet3" sheetId="15" r:id="rId9"/>
    <sheet name="C_Section_Marks" sheetId="12" r:id="rId10"/>
    <sheet name="Sheet2" sheetId="13" r:id="rId11"/>
  </sheets>
  <calcPr calcId="191029"/>
  <pivotCaches>
    <pivotCache cacheId="0" r:id="rId12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<sst xmlns="http://schemas.openxmlformats.org/spreadsheetml/2006/main" count="3513" uniqueCount="488">
  <si>
    <t>CIE for the theory component of Integrated Professional Core Courses (IPCC)</t>
  </si>
  <si>
    <t>Course</t>
  </si>
  <si>
    <t>Full Stack Development</t>
  </si>
  <si>
    <t>Course Code</t>
  </si>
  <si>
    <t>22IS62</t>
  </si>
  <si>
    <t>Sl. No</t>
  </si>
  <si>
    <t>USN</t>
  </si>
  <si>
    <t>NAME</t>
  </si>
  <si>
    <t>IAT-1 (50)</t>
  </si>
  <si>
    <t>IAT-1 (Reduced to 30) (A)</t>
  </si>
  <si>
    <t>IAT-2 (50)</t>
  </si>
  <si>
    <t>IAT-2 (Reduced to 30) (B)</t>
  </si>
  <si>
    <t>IAT-3 (50)</t>
  </si>
  <si>
    <t xml:space="preserve">IAT-3 (Reduced to 30) (C) </t>
  </si>
  <si>
    <t>Average
(A + B + C) / 3 (D)</t>
  </si>
  <si>
    <t>Quiz (30)</t>
  </si>
  <si>
    <t>Quiz (Reduced to 10) (E)</t>
  </si>
  <si>
    <t>AAT (10) (F)</t>
  </si>
  <si>
    <t>TOTAL G = (D + E + F) (50)</t>
  </si>
  <si>
    <t>G reduced to 30 (K)</t>
  </si>
  <si>
    <t>Lab Marks (L) (20)</t>
  </si>
  <si>
    <t>Final Total (Theory (30) + Lab (20)) (50)</t>
  </si>
  <si>
    <t>TOTAL (Round up - Total 50)</t>
  </si>
  <si>
    <t>Attendance(40)</t>
  </si>
  <si>
    <t>Lab Att</t>
  </si>
  <si>
    <t>Total</t>
  </si>
  <si>
    <t>1DS22IS001</t>
  </si>
  <si>
    <t>AADARSH KUMAR BATHWAL</t>
  </si>
  <si>
    <t>1DS22IS002</t>
  </si>
  <si>
    <t>AADYA SHRIVASTAVA</t>
  </si>
  <si>
    <t>1DS22IS003</t>
  </si>
  <si>
    <t>ADITHI S PAWAR</t>
  </si>
  <si>
    <t>1DS22IS004</t>
  </si>
  <si>
    <t>ADITHYA N A</t>
  </si>
  <si>
    <t>1DS22IS005</t>
  </si>
  <si>
    <t>ADITYA ANAND</t>
  </si>
  <si>
    <t>1DS22IS006</t>
  </si>
  <si>
    <t>ADITYA BHUSHAN</t>
  </si>
  <si>
    <t>1DS22IS007</t>
  </si>
  <si>
    <t>ADITYA GANESH S</t>
  </si>
  <si>
    <t>1DS22IS008</t>
  </si>
  <si>
    <t>ADITYA SINGH</t>
  </si>
  <si>
    <t>1DS22IS009</t>
  </si>
  <si>
    <t>AKASH ARKA B</t>
  </si>
  <si>
    <t>1DS22IS010</t>
  </si>
  <si>
    <t>AKASH G S</t>
  </si>
  <si>
    <t>1DS22IS011</t>
  </si>
  <si>
    <t>AKASH GOYAL</t>
  </si>
  <si>
    <t>1DS22IS012</t>
  </si>
  <si>
    <t>AKHAND PRATAP SINGH</t>
  </si>
  <si>
    <t>1DS22IS013</t>
  </si>
  <si>
    <t>AKSHATA</t>
  </si>
  <si>
    <t>1DS22IS014</t>
  </si>
  <si>
    <t>ALFIYA FATIMA</t>
  </si>
  <si>
    <t>1DS22IS015</t>
  </si>
  <si>
    <t>AMISHA SINGH</t>
  </si>
  <si>
    <t>1DS22IS016</t>
  </si>
  <si>
    <t>AMRUTHA</t>
  </si>
  <si>
    <t>1DS22IS017</t>
  </si>
  <si>
    <t>ANAGHA R</t>
  </si>
  <si>
    <t>1DS22IS018</t>
  </si>
  <si>
    <t>ANANY KHARE</t>
  </si>
  <si>
    <t>1DS22IS019</t>
  </si>
  <si>
    <t>ANANYA B A</t>
  </si>
  <si>
    <t>1DS22IS020</t>
  </si>
  <si>
    <t>ANANYA OLEKAR</t>
  </si>
  <si>
    <t>1DS22IS021</t>
  </si>
  <si>
    <t>ANANYA PRAMOD</t>
  </si>
  <si>
    <t>1DS22IS022</t>
  </si>
  <si>
    <t>ANEESH M KASHYAP</t>
  </si>
  <si>
    <t>1DS22IS023</t>
  </si>
  <si>
    <t>ANUBHAB KAR</t>
  </si>
  <si>
    <t>1DS22IS024</t>
  </si>
  <si>
    <t>ANUPAM</t>
  </si>
  <si>
    <t>1DS22IS025</t>
  </si>
  <si>
    <t>ANUSHA R</t>
  </si>
  <si>
    <t>1DS22IS026</t>
  </si>
  <si>
    <t>ARUN B Y</t>
  </si>
  <si>
    <t>1DS22IS027</t>
  </si>
  <si>
    <t>ASHUTOSH KUMAR</t>
  </si>
  <si>
    <t>1DS22IS028</t>
  </si>
  <si>
    <t>ASHWIN S</t>
  </si>
  <si>
    <t>1DS22IS029</t>
  </si>
  <si>
    <t>ATHARVA KUMAR</t>
  </si>
  <si>
    <t>1DS22IS030</t>
  </si>
  <si>
    <t>AVANTIKA KESARWANI</t>
  </si>
  <si>
    <t>1DS22IS031</t>
  </si>
  <si>
    <t>AYUSH RAJ</t>
  </si>
  <si>
    <t>1DS22IS032</t>
  </si>
  <si>
    <t>BHARATH N J</t>
  </si>
  <si>
    <t>1DS22IS033</t>
  </si>
  <si>
    <t>BHAVANA S</t>
  </si>
  <si>
    <t>1DS22IS034</t>
  </si>
  <si>
    <t>BHAVANI C P</t>
  </si>
  <si>
    <t>1DS22IS035</t>
  </si>
  <si>
    <t>BHAVYA KATEJA</t>
  </si>
  <si>
    <t>1DS22IS036</t>
  </si>
  <si>
    <t>BOMMANA PRANAVI REDDY</t>
  </si>
  <si>
    <t>1DS22IS037</t>
  </si>
  <si>
    <t>CHANDAN K R</t>
  </si>
  <si>
    <t>1DS22IS038</t>
  </si>
  <si>
    <t>CHANDANA G</t>
  </si>
  <si>
    <t>1DS22IS039</t>
  </si>
  <si>
    <t>CHANDANA  S</t>
  </si>
  <si>
    <t>1DS22IS040</t>
  </si>
  <si>
    <t>CHARU PRIYA</t>
  </si>
  <si>
    <t>1DS22IS041</t>
  </si>
  <si>
    <t>CHARUTHA KRISHNA</t>
  </si>
  <si>
    <t>1DS22IS042</t>
  </si>
  <si>
    <t>CHETHAN R V</t>
  </si>
  <si>
    <t>1DS22IS043</t>
  </si>
  <si>
    <t>DEEKSHA K S</t>
  </si>
  <si>
    <t>1DS22IS044</t>
  </si>
  <si>
    <t>DISHA N G</t>
  </si>
  <si>
    <t>1DS22IS045</t>
  </si>
  <si>
    <t>DIVYANSH YADUVANSHI</t>
  </si>
  <si>
    <t>1DS22IS046</t>
  </si>
  <si>
    <t>DWARAMPUDI SOWMITH REDDY</t>
  </si>
  <si>
    <t>1DS22IS047</t>
  </si>
  <si>
    <t>EKSHU K HEGDE</t>
  </si>
  <si>
    <t>1DS22IS048</t>
  </si>
  <si>
    <t>G NAVEEN REDDY</t>
  </si>
  <si>
    <t>1DS22IS049</t>
  </si>
  <si>
    <t>G S CHETHAN KUMAR</t>
  </si>
  <si>
    <t>1DS22IS050</t>
  </si>
  <si>
    <t>G SAMPRITH</t>
  </si>
  <si>
    <t>1DS22IS051</t>
  </si>
  <si>
    <t>GAURAV ANAND</t>
  </si>
  <si>
    <t>1DS22IS052</t>
  </si>
  <si>
    <t>GAURAV V BHARADWAJ</t>
  </si>
  <si>
    <t>1DS22IS053</t>
  </si>
  <si>
    <t>GREASHA JAIN</t>
  </si>
  <si>
    <t>1DS22IS054</t>
  </si>
  <si>
    <t>GURUPRASAD GURUSIDDAYYA YARAGATTIMATH</t>
  </si>
  <si>
    <t>1DS22IS055</t>
  </si>
  <si>
    <t>HANSA SINGH</t>
  </si>
  <si>
    <t>1DS22IS056</t>
  </si>
  <si>
    <t>HARSH GUPTA</t>
  </si>
  <si>
    <t>1DS22IS057</t>
  </si>
  <si>
    <t>HARSH JOSHI</t>
  </si>
  <si>
    <t>1DS22IS058</t>
  </si>
  <si>
    <t>HARSH SINGH</t>
  </si>
  <si>
    <t>1DS22IS059</t>
  </si>
  <si>
    <t>HARSHVARDHAN BAITULE</t>
  </si>
  <si>
    <t>1DS22IS060</t>
  </si>
  <si>
    <t>HEMALATHA N K</t>
  </si>
  <si>
    <t>1DS22IS061</t>
  </si>
  <si>
    <t>HIMAKAR M S</t>
  </si>
  <si>
    <t>1DS22IS062</t>
  </si>
  <si>
    <t>J SHYAM</t>
  </si>
  <si>
    <t>1DS22IS063</t>
  </si>
  <si>
    <t>JILLELLA BARGAV</t>
  </si>
  <si>
    <t>1DS22IS064</t>
  </si>
  <si>
    <t>JISHNU MANJUNATH M</t>
  </si>
  <si>
    <t>1DS22IS065</t>
  </si>
  <si>
    <t>K N RISHAB PURANIKA</t>
  </si>
  <si>
    <t>1DS22IS066</t>
  </si>
  <si>
    <t>KAVYASHREE T</t>
  </si>
  <si>
    <t>1DS22IS067</t>
  </si>
  <si>
    <t>KEERTHI B</t>
  </si>
  <si>
    <t>1DS22IS068</t>
  </si>
  <si>
    <t>KISHOR KALYANI WADEYAR</t>
  </si>
  <si>
    <t>1DS22IS069</t>
  </si>
  <si>
    <t>KUSHAL NAYAK S P</t>
  </si>
  <si>
    <t>1DS22IS070</t>
  </si>
  <si>
    <t>LAISIRI N M</t>
  </si>
  <si>
    <t>1DS22IS071</t>
  </si>
  <si>
    <t>LANKESH N C D</t>
  </si>
  <si>
    <t>1DS22IS072</t>
  </si>
  <si>
    <t>LIKITH S</t>
  </si>
  <si>
    <t>1DS22IS073</t>
  </si>
  <si>
    <t>LOCHAN T N</t>
  </si>
  <si>
    <t>1DS22IS074</t>
  </si>
  <si>
    <t>M R NISHANTH</t>
  </si>
  <si>
    <t>1DS22IS075</t>
  </si>
  <si>
    <t>MADHU R</t>
  </si>
  <si>
    <t>1DS22IS076</t>
  </si>
  <si>
    <t>MALIAKA SARA DRABOO</t>
  </si>
  <si>
    <t>1DS22IS077</t>
  </si>
  <si>
    <t>MANASWINI G</t>
  </si>
  <si>
    <t>1DS22IS078</t>
  </si>
  <si>
    <t>MANDAN MISHRA</t>
  </si>
  <si>
    <t>1DS22IS080</t>
  </si>
  <si>
    <t>MANISH S SHETTY</t>
  </si>
  <si>
    <t>1DS22IS081</t>
  </si>
  <si>
    <t>MANOJ N</t>
  </si>
  <si>
    <t>1DS22IS082</t>
  </si>
  <si>
    <t>MAYUR ADARSH N S</t>
  </si>
  <si>
    <t>1DS22IS083</t>
  </si>
  <si>
    <t>MD NADEEM</t>
  </si>
  <si>
    <t>1DS22IS084</t>
  </si>
  <si>
    <t>MITHUN A M</t>
  </si>
  <si>
    <t>1DS22IS085</t>
  </si>
  <si>
    <t>MIZBA ULLAIN</t>
  </si>
  <si>
    <t>1DS22IS086</t>
  </si>
  <si>
    <t>MOHAMMED FARHAN KHAN</t>
  </si>
  <si>
    <t>1DS22IS087</t>
  </si>
  <si>
    <t>MOHAMMED IDREES</t>
  </si>
  <si>
    <t>1DS22IS088</t>
  </si>
  <si>
    <t>MOHAMMED UZAIR</t>
  </si>
  <si>
    <t>1DS22IS089</t>
  </si>
  <si>
    <t>MOKSHITH R D</t>
  </si>
  <si>
    <t>1DS22IS090</t>
  </si>
  <si>
    <t>MUMMADI D L NARASIMHA REDDY</t>
  </si>
  <si>
    <t>1DS22IS091</t>
  </si>
  <si>
    <t>NAGARAJ</t>
  </si>
  <si>
    <t>1DS22IS092</t>
  </si>
  <si>
    <t>NAVDEEP C</t>
  </si>
  <si>
    <t>1DS22IS093</t>
  </si>
  <si>
    <t>NAVNEET G SATWIK</t>
  </si>
  <si>
    <t>1DS22IS094</t>
  </si>
  <si>
    <t>NAVYA V S</t>
  </si>
  <si>
    <t>1DS22IS095</t>
  </si>
  <si>
    <t>NIDHA HUSSAIN</t>
  </si>
  <si>
    <t>1DS22IS096</t>
  </si>
  <si>
    <t>NIDHI RAJIV</t>
  </si>
  <si>
    <t>1DS22IS097</t>
  </si>
  <si>
    <t>NIHARIKA N</t>
  </si>
  <si>
    <t>1DS22IS098</t>
  </si>
  <si>
    <t>NIKHIL CHANDRAKANT KAMANNAVAR</t>
  </si>
  <si>
    <t>1DS22IS099</t>
  </si>
  <si>
    <t>NITHIN RAJ H</t>
  </si>
  <si>
    <t>1DS22IS100</t>
  </si>
  <si>
    <t>NITINRAJ GAMPA</t>
  </si>
  <si>
    <t>1DS22IS101</t>
  </si>
  <si>
    <t>PALLAVI K</t>
  </si>
  <si>
    <t>1DS22IS102</t>
  </si>
  <si>
    <t>PALLAVI P KAMATH</t>
  </si>
  <si>
    <t>1DS22IS103</t>
  </si>
  <si>
    <t>PARINEETHA M</t>
  </si>
  <si>
    <t>1DS22IS104</t>
  </si>
  <si>
    <t>PAVAN RAIKAR</t>
  </si>
  <si>
    <t>1DS22IS105</t>
  </si>
  <si>
    <t>PRADHYUMNA S</t>
  </si>
  <si>
    <t>1DS22IS106</t>
  </si>
  <si>
    <t>PRAGATI RAJ BEHERA</t>
  </si>
  <si>
    <t>1DS22IS107</t>
  </si>
  <si>
    <t>PRAJWAL UDUPA</t>
  </si>
  <si>
    <t>1DS22IS108</t>
  </si>
  <si>
    <t>PRAKRUTHI S</t>
  </si>
  <si>
    <t>1DS22IS109</t>
  </si>
  <si>
    <t>PRASANNA G</t>
  </si>
  <si>
    <t>1DS22IS110</t>
  </si>
  <si>
    <t>PRATHIKSHA NAYAK</t>
  </si>
  <si>
    <t>1DS22IS111</t>
  </si>
  <si>
    <t>PREMKUMAR N</t>
  </si>
  <si>
    <t>1DS22IS112</t>
  </si>
  <si>
    <t>PRIYANKA S A</t>
  </si>
  <si>
    <t>1DS22IS113</t>
  </si>
  <si>
    <t>RAGHUVEER APPANNA AMBIGER</t>
  </si>
  <si>
    <t>1DS22IS114</t>
  </si>
  <si>
    <t>RAKSHITHA Y</t>
  </si>
  <si>
    <t>1DS22IS115</t>
  </si>
  <si>
    <t>RAMANSHU JHA</t>
  </si>
  <si>
    <t>1DS22IS116</t>
  </si>
  <si>
    <t>RASHMI K VAIDYA</t>
  </si>
  <si>
    <t>1DS22IS117</t>
  </si>
  <si>
    <t>RISHIKESH KUMAR</t>
  </si>
  <si>
    <t>1DS22IS118</t>
  </si>
  <si>
    <t>RIYA SINGH</t>
  </si>
  <si>
    <t>1DS22IS119</t>
  </si>
  <si>
    <t>ROHINISH SHAHI</t>
  </si>
  <si>
    <t>1DS22IS120</t>
  </si>
  <si>
    <t>ROHITH BN</t>
  </si>
  <si>
    <t>1DS22IS121</t>
  </si>
  <si>
    <t>S RAGHAVENDRA</t>
  </si>
  <si>
    <t>1DS22IS122</t>
  </si>
  <si>
    <t>S S SAILESH KUMAR</t>
  </si>
  <si>
    <t>1DS22IS123</t>
  </si>
  <si>
    <t>SACHIKA</t>
  </si>
  <si>
    <t>1DS22IS124</t>
  </si>
  <si>
    <t>SADHVI P</t>
  </si>
  <si>
    <t>1DS22IS125</t>
  </si>
  <si>
    <t>SAHAJ GUPTA</t>
  </si>
  <si>
    <t>1DS22IS126</t>
  </si>
  <si>
    <t>SAI BHARGAVA S</t>
  </si>
  <si>
    <t>1DS22IS127</t>
  </si>
  <si>
    <t>SAI SHASHWATH AR</t>
  </si>
  <si>
    <t>1DS22IS128</t>
  </si>
  <si>
    <t>SAI VITTAL U</t>
  </si>
  <si>
    <t>1DS22IS129</t>
  </si>
  <si>
    <t>SANJAY K N</t>
  </si>
  <si>
    <t>1DS22IS130</t>
  </si>
  <si>
    <t>SANTHOSH B R</t>
  </si>
  <si>
    <t>1DS22IS131</t>
  </si>
  <si>
    <t>SANTRUPTI RUDRAGOUDA BIRADAR</t>
  </si>
  <si>
    <t>1DS22IS132</t>
  </si>
  <si>
    <t>SANTUSHT ANAND</t>
  </si>
  <si>
    <t>1DS22IS133</t>
  </si>
  <si>
    <t>SARVOCHCHA SHARMA</t>
  </si>
  <si>
    <t>1DS22IS134</t>
  </si>
  <si>
    <t>SAURAV KUMAR</t>
  </si>
  <si>
    <t>1DS22IS135</t>
  </si>
  <si>
    <t>SESHANNAGARI MOHITH KUMAR REDDY</t>
  </si>
  <si>
    <t xml:space="preserve">   </t>
  </si>
  <si>
    <t>1DS22IS136</t>
  </si>
  <si>
    <t>SHAMBHAV KUMAR</t>
  </si>
  <si>
    <t>1DS22IS137</t>
  </si>
  <si>
    <t>SHARAD PODDAR</t>
  </si>
  <si>
    <t>1DS22IS138</t>
  </si>
  <si>
    <t>SHARADHI HEGDE</t>
  </si>
  <si>
    <t>1DS22IS139</t>
  </si>
  <si>
    <t>SHIVAM KUMAR</t>
  </si>
  <si>
    <t>1DS22IS140</t>
  </si>
  <si>
    <t>SHRAVYA H JAIN</t>
  </si>
  <si>
    <t>1DS22IS141</t>
  </si>
  <si>
    <t>SHRAVYA R</t>
  </si>
  <si>
    <t>1DS22IS142</t>
  </si>
  <si>
    <t>SHRAVYA S SHETTY</t>
  </si>
  <si>
    <t>1DS22IS143</t>
  </si>
  <si>
    <t>SHREENIVAS NAYAKAWADI</t>
  </si>
  <si>
    <t>1DS22IS144</t>
  </si>
  <si>
    <t>SHREESHA ALEVOOR</t>
  </si>
  <si>
    <t>1DS22IS145</t>
  </si>
  <si>
    <t>SHREYA DANDAPAT</t>
  </si>
  <si>
    <t>1DS22IS146</t>
  </si>
  <si>
    <t>SHREYA HUNNUR</t>
  </si>
  <si>
    <t>1DS22IS147</t>
  </si>
  <si>
    <t>SHREYA J</t>
  </si>
  <si>
    <t>1DS22IS148</t>
  </si>
  <si>
    <t>SHREYA M</t>
  </si>
  <si>
    <t>1DS22IS149</t>
  </si>
  <si>
    <t>SHREYA S</t>
  </si>
  <si>
    <t>1DS22IS150</t>
  </si>
  <si>
    <t>SHREYA V</t>
  </si>
  <si>
    <t>1DS22IS151</t>
  </si>
  <si>
    <t>SHRIRAKSHA</t>
  </si>
  <si>
    <t>1DS22IS152</t>
  </si>
  <si>
    <t>SHUBHAM JHA</t>
  </si>
  <si>
    <t>1DS22IS153</t>
  </si>
  <si>
    <t>SHWETA KUMARI</t>
  </si>
  <si>
    <t>1DS22IS154</t>
  </si>
  <si>
    <t>SHYAM KUMAR R</t>
  </si>
  <si>
    <t>1DS22IS155</t>
  </si>
  <si>
    <t>SIDDESHWAR</t>
  </si>
  <si>
    <t>1DS22IS156</t>
  </si>
  <si>
    <t>SIDDHARTH BIJAPUR</t>
  </si>
  <si>
    <t>1DS22IS157</t>
  </si>
  <si>
    <t>SIDDU HOLEPPA GADAD</t>
  </si>
  <si>
    <t>1DS22IS158</t>
  </si>
  <si>
    <t>SINDHU K V</t>
  </si>
  <si>
    <t>1DS22IS159</t>
  </si>
  <si>
    <t>SIRISH ARAVINDAKUMAR</t>
  </si>
  <si>
    <t>1DS22IS160</t>
  </si>
  <si>
    <t>SNEHA PAL</t>
  </si>
  <si>
    <t>1DS22IS161</t>
  </si>
  <si>
    <t>SPOORTHI GOWDA U</t>
  </si>
  <si>
    <t>1DS22IS162</t>
  </si>
  <si>
    <t>SRIJEETH CHANDRASHEKAR TUBAKI</t>
  </si>
  <si>
    <t>1DS22IS163</t>
  </si>
  <si>
    <t>SRUSTI T D</t>
  </si>
  <si>
    <t>1DS22IS164</t>
  </si>
  <si>
    <t>SUNAINA BHAVE</t>
  </si>
  <si>
    <t>1DS22IS165</t>
  </si>
  <si>
    <t>SUNNY KUMAR</t>
  </si>
  <si>
    <t>1DS22IS166</t>
  </si>
  <si>
    <t>SURAJ SREEPRAKASH MENON</t>
  </si>
  <si>
    <t>1DS22IS167</t>
  </si>
  <si>
    <t>SUSHANT BALAGOUDA PATIL</t>
  </si>
  <si>
    <t>1DS22IS168</t>
  </si>
  <si>
    <t>SUVAN BANERJEE</t>
  </si>
  <si>
    <t>1DS22IS169</t>
  </si>
  <si>
    <t>TANISH N GOWDA</t>
  </si>
  <si>
    <t>1DS22IS170</t>
  </si>
  <si>
    <t>TARUN SAI K A</t>
  </si>
  <si>
    <t>1DS22IS171</t>
  </si>
  <si>
    <t>TEJASWINI M B</t>
  </si>
  <si>
    <t>1DS22IS172</t>
  </si>
  <si>
    <t>THANMAYI VS</t>
  </si>
  <si>
    <t>1DS22IS173</t>
  </si>
  <si>
    <t>TUSHAR SINGH</t>
  </si>
  <si>
    <t>1DS22IS174</t>
  </si>
  <si>
    <t>UJWAL KUMAR B R</t>
  </si>
  <si>
    <t>1DS22IS175</t>
  </si>
  <si>
    <t>V NARENDRAN</t>
  </si>
  <si>
    <t>1DS22IS176</t>
  </si>
  <si>
    <t>VAIBHAV MALIK</t>
  </si>
  <si>
    <t>1DS22IS177</t>
  </si>
  <si>
    <t>VAIBHAV S MAGADUM</t>
  </si>
  <si>
    <t>1DS22IS178</t>
  </si>
  <si>
    <t>VANI BS</t>
  </si>
  <si>
    <t>1DS22IS179</t>
  </si>
  <si>
    <t>VARSHA H</t>
  </si>
  <si>
    <t>1DS22IS180</t>
  </si>
  <si>
    <t>VARUN K</t>
  </si>
  <si>
    <t>1DS22IS181</t>
  </si>
  <si>
    <t>VEDANT RAJENDRA BALPANDE</t>
  </si>
  <si>
    <t>1DS22IS182</t>
  </si>
  <si>
    <t>VIDYASAGAR GUNDI</t>
  </si>
  <si>
    <t>1DS22IS183</t>
  </si>
  <si>
    <t>VIKHYATH H R S</t>
  </si>
  <si>
    <t>1DS22IS184</t>
  </si>
  <si>
    <t>VISHESH KUMAR</t>
  </si>
  <si>
    <t>1DS22IS185</t>
  </si>
  <si>
    <t>VISHNU R</t>
  </si>
  <si>
    <t>1DS22IS186</t>
  </si>
  <si>
    <t>Y SUDHARSHAN SRINIVAS REDDY</t>
  </si>
  <si>
    <t>1DS22IS187</t>
  </si>
  <si>
    <t>YAMINI M KUMAR</t>
  </si>
  <si>
    <t>1DS22IS188</t>
  </si>
  <si>
    <t>YOGESH E</t>
  </si>
  <si>
    <t>1DS22IS189</t>
  </si>
  <si>
    <t>YUKTHA DAYANAND</t>
  </si>
  <si>
    <t>1DS22IS191</t>
  </si>
  <si>
    <t>YUKTHA P S</t>
  </si>
  <si>
    <t>1DS23IS400</t>
  </si>
  <si>
    <t>ANIL KUMAR V KALI</t>
  </si>
  <si>
    <t>1DS23IS401</t>
  </si>
  <si>
    <t>BALAJI B N</t>
  </si>
  <si>
    <t>1DS23IS402</t>
  </si>
  <si>
    <t>CHETHAN G</t>
  </si>
  <si>
    <t>1DS23IS403</t>
  </si>
  <si>
    <t>DAYANAND BADIGER</t>
  </si>
  <si>
    <t>1DS23IS404</t>
  </si>
  <si>
    <t>DEERAJ GANESH M</t>
  </si>
  <si>
    <t>1DS23IS405</t>
  </si>
  <si>
    <t>G C RAKESH</t>
  </si>
  <si>
    <t>1DS23IS406</t>
  </si>
  <si>
    <t>HAMSA G</t>
  </si>
  <si>
    <t>1DS23IS407</t>
  </si>
  <si>
    <t>HIMANSHU B A</t>
  </si>
  <si>
    <t>1DS23IS408</t>
  </si>
  <si>
    <t>KARTIK B PATIL</t>
  </si>
  <si>
    <t>1DS23IS409</t>
  </si>
  <si>
    <t>MANJIT JITENDRA SAWANT</t>
  </si>
  <si>
    <t>1DS23IS410</t>
  </si>
  <si>
    <t>MANJUNATH S</t>
  </si>
  <si>
    <t>1DS23IS411</t>
  </si>
  <si>
    <t>MANOJ S</t>
  </si>
  <si>
    <t>1DS23IS412</t>
  </si>
  <si>
    <t>NEEHA FATHIMA</t>
  </si>
  <si>
    <t>1DS23IS413</t>
  </si>
  <si>
    <t>NITHISH M</t>
  </si>
  <si>
    <t>1DS23IS414</t>
  </si>
  <si>
    <t>NITIN KUMAR</t>
  </si>
  <si>
    <t>1DS23IS415</t>
  </si>
  <si>
    <t>PRASHANT S NAGANI</t>
  </si>
  <si>
    <t>1DS23IS416</t>
  </si>
  <si>
    <t>VIKAS D H</t>
  </si>
  <si>
    <t>1DS23IS417</t>
  </si>
  <si>
    <t>VILESH RAJATH G V</t>
  </si>
  <si>
    <t>Total Quiz</t>
  </si>
  <si>
    <t>CIE for the practical component of Integrated Professional Core Courses (IPCC)</t>
  </si>
  <si>
    <t>Sl. No.</t>
  </si>
  <si>
    <t>CIE (30) (H)</t>
  </si>
  <si>
    <t>Final Test (50)</t>
  </si>
  <si>
    <t>Final Test Reduced to 20 (I)</t>
  </si>
  <si>
    <t>Total = H + I (J)</t>
  </si>
  <si>
    <t>Total out of 50 (J) Marks reduced to 20 (L)</t>
  </si>
  <si>
    <t>Round up</t>
  </si>
  <si>
    <t>DIGITAL LOGIC DESIGN LABORATORY -IPCC22IS33</t>
  </si>
  <si>
    <t>CIE MARKS - 2024-25</t>
  </si>
  <si>
    <t>SEM: 3</t>
  </si>
  <si>
    <t xml:space="preserve"> </t>
  </si>
  <si>
    <t>EXP 1</t>
  </si>
  <si>
    <t>EXP 2</t>
  </si>
  <si>
    <t>EXP 3</t>
  </si>
  <si>
    <t>EXP 4</t>
  </si>
  <si>
    <t>EXP 5</t>
  </si>
  <si>
    <t>EXP 6</t>
  </si>
  <si>
    <t>EXP 7</t>
  </si>
  <si>
    <t>EXP 8</t>
  </si>
  <si>
    <t>EXP 9</t>
  </si>
  <si>
    <t>EXP 10</t>
  </si>
  <si>
    <t>AVG(30)</t>
  </si>
  <si>
    <t>CIA MARKS - 2024-25</t>
  </si>
  <si>
    <t>WRITE-UP(08)</t>
  </si>
  <si>
    <t>EXECUTION(35)</t>
  </si>
  <si>
    <t>VIVA(07)</t>
  </si>
  <si>
    <t>TOTAL(50)</t>
  </si>
  <si>
    <t>TOTAL(20)</t>
  </si>
  <si>
    <t>INTERNAL MARKS - 2024-25</t>
  </si>
  <si>
    <t>SEM: 6</t>
  </si>
  <si>
    <t>SECTION: A, B, C</t>
  </si>
  <si>
    <t>CIE(30)</t>
  </si>
  <si>
    <t>CIA(20)</t>
  </si>
  <si>
    <t>FINAL MARKS -2024-25</t>
  </si>
  <si>
    <t>FINAL(20)</t>
  </si>
  <si>
    <t>FINAL-RoundUp</t>
  </si>
  <si>
    <t>ATTENDANCE(12)</t>
  </si>
  <si>
    <t>24UGDS0590</t>
  </si>
  <si>
    <t>VEERGANGADHAR B HIREMATH</t>
  </si>
  <si>
    <t>24UGDS0541</t>
  </si>
  <si>
    <t>VENKATESH H D</t>
  </si>
  <si>
    <t>Row Labels</t>
  </si>
  <si>
    <t>Count of USN</t>
  </si>
  <si>
    <t>Grand Total</t>
  </si>
  <si>
    <t xml:space="preserve">Total Marks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</si>
</sst>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.0"/>
  </numFmts>
  <fonts count="35">
    <font>
      <sz val="11"/>
      <color theme="1"/>
      <name val="Calibri"/>
      <charset val="134"/>
      <scheme val="minor"/>
    </font>
    <font>
      <b/>
      <sz val="10"/>
      <name val="Bookman Old Style"/>
      <charset val="134"/>
    </font>
    <font>
      <sz val="10"/>
      <color rgb="FF000000"/>
      <name val="Bookman Old Style"/>
      <charset val="134"/>
    </font>
    <font>
      <sz val="10"/>
      <color theme="1"/>
      <name val="Bookman Old Style"/>
      <charset val="134"/>
    </font>
    <font>
      <sz val="10"/>
      <color rgb="FFFF0000"/>
      <name val="Bookman Old Style"/>
      <charset val="134"/>
    </font>
    <font>
      <b/>
      <sz val="9"/>
      <color theme="1"/>
      <name val="Times New Roman"/>
      <charset val="134"/>
    </font>
    <font>
      <b/>
      <sz val="11"/>
      <color theme="1"/>
      <name val="Times New Roman"/>
      <charset val="134"/>
    </font>
    <font>
      <sz val="11"/>
      <color theme="1"/>
      <name val="Times New Roman"/>
      <charset val="134"/>
    </font>
    <font>
      <sz val="11"/>
      <color theme="1"/>
      <name val="Bookman Old Style"/>
      <charset val="134"/>
    </font>
    <font>
      <sz val="11"/>
      <color theme="1"/>
      <name val="Calibri"/>
      <charset val="134"/>
    </font>
    <font>
      <sz val="11"/>
      <color theme="1"/>
      <name val="Cambria"/>
      <charset val="134"/>
    </font>
    <font>
      <b/>
      <sz val="11"/>
      <color theme="1"/>
      <name val="Cambria"/>
      <charset val="134"/>
    </font>
    <font>
      <sz val="11"/>
      <color rgb="FF000000"/>
      <name val="Cambria"/>
      <charset val="134"/>
    </font>
    <font>
      <sz val="10"/>
      <name val="Bookman Old Style"/>
      <charset val="134"/>
    </font>
    <font>
      <sz val="10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8F9FA"/>
        <bgColor rgb="FFF8F9FA"/>
      </patternFill>
    </fill>
    <fill>
      <patternFill patternType="solid">
        <fgColor rgb="FFFFFFFF"/>
        <bgColor rgb="FFFF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0" fillId="5" borderId="5" applyNumberFormat="0" applyFon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6" borderId="8" applyNumberFormat="0" applyAlignment="0" applyProtection="0">
      <alignment vertical="center"/>
    </xf>
    <xf numFmtId="0" fontId="25" fillId="7" borderId="9" applyNumberFormat="0" applyAlignment="0" applyProtection="0">
      <alignment vertical="center"/>
    </xf>
    <xf numFmtId="0" fontId="26" fillId="7" borderId="8" applyNumberFormat="0" applyAlignment="0" applyProtection="0">
      <alignment vertical="center"/>
    </xf>
    <xf numFmtId="0" fontId="27" fillId="8" borderId="10" applyNumberFormat="0" applyAlignment="0" applyProtection="0">
      <alignment vertical="center"/>
    </xf>
    <xf numFmtId="0" fontId="28" fillId="0" borderId="11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4" fillId="29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4" fillId="33" borderId="0" applyNumberFormat="0" applyBorder="0" applyAlignment="0" applyProtection="0">
      <alignment vertical="center"/>
    </xf>
    <xf numFmtId="0" fontId="34" fillId="34" borderId="0" applyNumberFormat="0" applyBorder="0" applyAlignment="0" applyProtection="0">
      <alignment vertical="center"/>
    </xf>
    <xf numFmtId="0" fontId="33" fillId="35" borderId="0" applyNumberFormat="0" applyBorder="0" applyAlignment="0" applyProtection="0">
      <alignment vertical="center"/>
    </xf>
  </cellStyleXfs>
  <cellXfs count="61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0" fillId="0" borderId="1" xfId="0" applyBorder="1"/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top" wrapText="1"/>
    </xf>
    <xf numFmtId="0" fontId="3" fillId="0" borderId="1" xfId="0" applyFont="1" applyFill="1" applyBorder="1" applyAlignment="1">
      <alignment horizontal="center" vertical="top" wrapText="1"/>
    </xf>
    <xf numFmtId="0" fontId="0" fillId="0" borderId="0" xfId="0" applyAlignment="1">
      <alignment horizontal="left"/>
    </xf>
    <xf numFmtId="0" fontId="0" fillId="0" borderId="0" xfId="0" applyNumberFormat="1"/>
    <xf numFmtId="0" fontId="5" fillId="0" borderId="1" xfId="0" applyFont="1" applyBorder="1" applyAlignment="1">
      <alignment horizontal="center"/>
    </xf>
    <xf numFmtId="0" fontId="3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6" fillId="0" borderId="0" xfId="0" applyFont="1" applyAlignment="1">
      <alignment horizontal="center"/>
    </xf>
    <xf numFmtId="0" fontId="6" fillId="0" borderId="0" xfId="0" applyFont="1"/>
    <xf numFmtId="0" fontId="7" fillId="0" borderId="0" xfId="0" applyFont="1"/>
    <xf numFmtId="0" fontId="6" fillId="0" borderId="0" xfId="0" applyFont="1" applyAlignment="1">
      <alignment wrapText="1"/>
    </xf>
    <xf numFmtId="0" fontId="6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7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8" fillId="0" borderId="1" xfId="0" applyFont="1" applyBorder="1"/>
    <xf numFmtId="0" fontId="9" fillId="0" borderId="1" xfId="0" applyFont="1" applyBorder="1"/>
    <xf numFmtId="0" fontId="9" fillId="0" borderId="0" xfId="0" applyFont="1"/>
    <xf numFmtId="0" fontId="5" fillId="0" borderId="2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9" fillId="0" borderId="3" xfId="0" applyFont="1" applyFill="1" applyBorder="1" applyAlignment="1">
      <alignment horizontal="center"/>
    </xf>
    <xf numFmtId="0" fontId="0" fillId="0" borderId="1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10" fillId="0" borderId="0" xfId="0" applyFont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 wrapText="1"/>
    </xf>
    <xf numFmtId="2" fontId="12" fillId="0" borderId="2" xfId="0" applyNumberFormat="1" applyFont="1" applyBorder="1" applyAlignment="1">
      <alignment horizontal="center" vertical="center" wrapText="1"/>
    </xf>
    <xf numFmtId="0" fontId="11" fillId="0" borderId="0" xfId="0" applyFont="1" applyBorder="1" applyAlignment="1">
      <alignment horizontal="center" vertical="center"/>
    </xf>
    <xf numFmtId="2" fontId="12" fillId="0" borderId="1" xfId="0" applyNumberFormat="1" applyFont="1" applyBorder="1" applyAlignment="1">
      <alignment horizontal="center" vertical="center" wrapText="1"/>
    </xf>
    <xf numFmtId="0" fontId="10" fillId="0" borderId="0" xfId="0" applyFont="1" applyBorder="1" applyAlignment="1">
      <alignment horizontal="center" vertical="center"/>
    </xf>
    <xf numFmtId="1" fontId="13" fillId="0" borderId="1" xfId="0" applyNumberFormat="1" applyFont="1" applyBorder="1" applyAlignment="1">
      <alignment horizontal="center" vertical="center"/>
    </xf>
    <xf numFmtId="2" fontId="13" fillId="0" borderId="1" xfId="0" applyNumberFormat="1" applyFont="1" applyBorder="1" applyAlignment="1">
      <alignment horizontal="center" vertical="center"/>
    </xf>
    <xf numFmtId="0" fontId="11" fillId="0" borderId="0" xfId="0" applyFont="1" applyAlignment="1">
      <alignment horizontal="center" vertical="center" wrapText="1"/>
    </xf>
    <xf numFmtId="1" fontId="1" fillId="0" borderId="1" xfId="0" applyNumberFormat="1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 wrapText="1"/>
    </xf>
    <xf numFmtId="1" fontId="3" fillId="0" borderId="1" xfId="0" applyNumberFormat="1" applyFont="1" applyBorder="1" applyAlignment="1">
      <alignment horizontal="center" vertical="center"/>
    </xf>
    <xf numFmtId="178" fontId="3" fillId="0" borderId="1" xfId="0" applyNumberFormat="1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2" fontId="3" fillId="0" borderId="1" xfId="0" applyNumberFormat="1" applyFont="1" applyBorder="1" applyAlignment="1">
      <alignment horizontal="center" vertical="center"/>
    </xf>
    <xf numFmtId="0" fontId="14" fillId="3" borderId="1" xfId="0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15" fillId="0" borderId="1" xfId="0" applyFont="1" applyFill="1" applyBorder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5" Type="http://schemas.openxmlformats.org/officeDocument/2006/relationships/styles" Target="styles.xml"/><Relationship Id="rId14" Type="http://schemas.openxmlformats.org/officeDocument/2006/relationships/sharedStrings" Target="sharedStrings.xml"/><Relationship Id="rId13" Type="http://schemas.openxmlformats.org/officeDocument/2006/relationships/theme" Target="theme/theme1.xml"/><Relationship Id="rId12" Type="http://schemas.openxmlformats.org/officeDocument/2006/relationships/pivotCacheDefinition" Target="pivotCache/pivotCacheDefinition1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[FSD MArks Sheet_A_B_C.xlsx]Sheet3!PivotTable2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Marks Count Range</a:t>
            </a:r>
            <a:endParaRPr lang="en-US"/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Sheet3!$B$1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dPt>
            <c:idx val="0"/>
            <c:invertIfNegative val="0"/>
            <c:bubble3D val="0"/>
          </c:dPt>
          <c:dPt>
            <c:idx val="1"/>
            <c:invertIfNegative val="0"/>
            <c:bubble3D val="0"/>
          </c:dPt>
          <c:dPt>
            <c:idx val="2"/>
            <c:invertIfNegative val="0"/>
            <c:bubble3D val="0"/>
          </c:dPt>
          <c:dPt>
            <c:idx val="3"/>
            <c:invertIfNegative val="0"/>
            <c:bubble3D val="0"/>
          </c:dPt>
          <c:dPt>
            <c:idx val="4"/>
            <c:invertIfNegative val="0"/>
            <c:bubble3D val="0"/>
          </c:dPt>
          <c:dPt>
            <c:idx val="5"/>
            <c:invertIfNegative val="0"/>
            <c:bubble3D val="0"/>
          </c:dPt>
          <c:dPt>
            <c:idx val="6"/>
            <c:invertIfNegative val="0"/>
            <c:bubble3D val="0"/>
          </c:dPt>
          <c:dPt>
            <c:idx val="7"/>
            <c:invertIfNegative val="0"/>
            <c:bubble3D val="0"/>
          </c:dPt>
          <c:dPt>
            <c:idx val="8"/>
            <c:invertIfNegative val="0"/>
            <c:bubble3D val="0"/>
          </c:dPt>
          <c:dPt>
            <c:idx val="9"/>
            <c:invertIfNegative val="0"/>
            <c:bubble3D val="0"/>
          </c:dPt>
          <c:dPt>
            <c:idx val="10"/>
            <c:invertIfNegative val="0"/>
            <c:bubble3D val="0"/>
          </c:dPt>
          <c:dPt>
            <c:idx val="11"/>
            <c:invertIfNegative val="0"/>
            <c:bubble3D val="0"/>
          </c:dPt>
          <c:dPt>
            <c:idx val="12"/>
            <c:invertIfNegative val="0"/>
            <c:bubble3D val="0"/>
          </c:dPt>
          <c:dPt>
            <c:idx val="13"/>
            <c:invertIfNegative val="0"/>
            <c:bubble3D val="0"/>
          </c:dPt>
          <c:dPt>
            <c:idx val="14"/>
            <c:invertIfNegative val="0"/>
            <c:bubble3D val="0"/>
          </c:dPt>
          <c:dPt>
            <c:idx val="15"/>
            <c:invertIfNegative val="0"/>
            <c:bubble3D val="0"/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Sheet3!$A$2:$A$18</c:f>
              <c:strCache>
                <c:ptCount val="16"/>
                <c:pt idx="0">
                  <c:v>4</c:v>
                </c:pt>
                <c:pt idx="1">
                  <c:v>35</c:v>
                </c:pt>
                <c:pt idx="2">
                  <c:v>37</c:v>
                </c:pt>
                <c:pt idx="3">
                  <c:v>38</c:v>
                </c:pt>
                <c:pt idx="4">
                  <c:v>39</c:v>
                </c:pt>
                <c:pt idx="5">
                  <c:v>40</c:v>
                </c:pt>
                <c:pt idx="6">
                  <c:v>41</c:v>
                </c:pt>
                <c:pt idx="7">
                  <c:v>42</c:v>
                </c:pt>
                <c:pt idx="8">
                  <c:v>43</c:v>
                </c:pt>
                <c:pt idx="9">
                  <c:v>44</c:v>
                </c:pt>
                <c:pt idx="10">
                  <c:v>45</c:v>
                </c:pt>
                <c:pt idx="11">
                  <c:v>46</c:v>
                </c:pt>
                <c:pt idx="12">
                  <c:v>47</c:v>
                </c:pt>
                <c:pt idx="13">
                  <c:v>48</c:v>
                </c:pt>
                <c:pt idx="14">
                  <c:v>49</c:v>
                </c:pt>
                <c:pt idx="15">
                  <c:v>50</c:v>
                </c:pt>
              </c:strCache>
            </c:strRef>
          </c:cat>
          <c:val>
            <c:numRef>
              <c:f>Sheet3!$B$2:$B$18</c:f>
              <c:numCache>
                <c:formatCode>General</c:formatCode>
                <c:ptCount val="16"/>
                <c:pt idx="0">
                  <c:v>1</c:v>
                </c:pt>
                <c:pt idx="1">
                  <c:v>3</c:v>
                </c:pt>
                <c:pt idx="2">
                  <c:v>2</c:v>
                </c:pt>
                <c:pt idx="3">
                  <c:v>5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3</c:v>
                </c:pt>
                <c:pt idx="8">
                  <c:v>3</c:v>
                </c:pt>
                <c:pt idx="9">
                  <c:v>8</c:v>
                </c:pt>
                <c:pt idx="10">
                  <c:v>5</c:v>
                </c:pt>
                <c:pt idx="11">
                  <c:v>10</c:v>
                </c:pt>
                <c:pt idx="12">
                  <c:v>4</c:v>
                </c:pt>
                <c:pt idx="13">
                  <c:v>9</c:v>
                </c:pt>
                <c:pt idx="14">
                  <c:v>8</c:v>
                </c:pt>
                <c:pt idx="15">
                  <c:v>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71741696"/>
        <c:axId val="271743232"/>
      </c:barChart>
      <c:catAx>
        <c:axId val="271741696"/>
        <c:scaling>
          <c:orientation val="minMax"/>
        </c:scaling>
        <c:delete val="0"/>
        <c:axPos val="b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71743232"/>
        <c:crosses val="autoZero"/>
        <c:auto val="1"/>
        <c:lblAlgn val="ctr"/>
        <c:lblOffset val="100"/>
        <c:noMultiLvlLbl val="0"/>
      </c:catAx>
      <c:valAx>
        <c:axId val="27174323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71741696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f52684e7-ba13-4034-819f-8a0dfefff4e3}"/>
      </c:ext>
    </c:extLst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</c:extLst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2</xdr:col>
      <xdr:colOff>0</xdr:colOff>
      <xdr:row>0</xdr:row>
      <xdr:rowOff>0</xdr:rowOff>
    </xdr:from>
    <xdr:ext cx="6638925" cy="923925"/>
    <xdr:pic>
      <xdr:nvPicPr>
        <xdr:cNvPr id="2" name="image1.png" descr="C:\Users\ISE LAB-1\Downloads\Revised_ISE_Logo.png"/>
        <xdr:cNvPicPr preferRelativeResize="0"/>
      </xdr:nvPicPr>
      <xdr:blipFill>
        <a:blip r:embed="rId1" cstate="print"/>
        <a:stretch>
          <a:fillRect/>
        </a:stretch>
      </xdr:blipFill>
      <xdr:spPr>
        <a:xfrm>
          <a:off x="1885950" y="0"/>
          <a:ext cx="6638925" cy="923925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2</xdr:col>
      <xdr:colOff>0</xdr:colOff>
      <xdr:row>0</xdr:row>
      <xdr:rowOff>0</xdr:rowOff>
    </xdr:from>
    <xdr:ext cx="6638925" cy="923925"/>
    <xdr:pic>
      <xdr:nvPicPr>
        <xdr:cNvPr id="2" name="image1.png" descr="C:\Users\ISE LAB-1\Downloads\Revised_ISE_Logo.png"/>
        <xdr:cNvPicPr preferRelativeResize="0"/>
      </xdr:nvPicPr>
      <xdr:blipFill>
        <a:blip r:embed="rId1" cstate="print"/>
        <a:stretch>
          <a:fillRect/>
        </a:stretch>
      </xdr:blipFill>
      <xdr:spPr>
        <a:xfrm>
          <a:off x="1885950" y="0"/>
          <a:ext cx="6638925" cy="923925"/>
        </a:xfrm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2</xdr:col>
      <xdr:colOff>66675</xdr:colOff>
      <xdr:row>0</xdr:row>
      <xdr:rowOff>19049</xdr:rowOff>
    </xdr:from>
    <xdr:ext cx="6638925" cy="923925"/>
    <xdr:pic>
      <xdr:nvPicPr>
        <xdr:cNvPr id="2" name="image1.png" descr="C:\Users\ISE LAB-1\Downloads\Revised_ISE_Logo.png"/>
        <xdr:cNvPicPr preferRelativeResize="0"/>
      </xdr:nvPicPr>
      <xdr:blipFill>
        <a:blip r:embed="rId1" cstate="print"/>
        <a:stretch>
          <a:fillRect/>
        </a:stretch>
      </xdr:blipFill>
      <xdr:spPr>
        <a:xfrm>
          <a:off x="1228725" y="18415"/>
          <a:ext cx="6638925" cy="923925"/>
        </a:xfrm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1097280</xdr:colOff>
      <xdr:row>0</xdr:row>
      <xdr:rowOff>30480</xdr:rowOff>
    </xdr:from>
    <xdr:to>
      <xdr:col>12</xdr:col>
      <xdr:colOff>60960</xdr:colOff>
      <xdr:row>4</xdr:row>
      <xdr:rowOff>145557</xdr:rowOff>
    </xdr:to>
    <xdr:pic>
      <xdr:nvPicPr>
        <xdr:cNvPr id="10" name="Picture 9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745230" y="30480"/>
          <a:ext cx="4964430" cy="8388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1084083</xdr:colOff>
      <xdr:row>0</xdr:row>
      <xdr:rowOff>23568</xdr:rowOff>
    </xdr:from>
    <xdr:to>
      <xdr:col>8</xdr:col>
      <xdr:colOff>768835</xdr:colOff>
      <xdr:row>4</xdr:row>
      <xdr:rowOff>148386</xdr:rowOff>
    </xdr:to>
    <xdr:pic>
      <xdr:nvPicPr>
        <xdr:cNvPr id="3" name="Picture 2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731895" y="23495"/>
          <a:ext cx="4961255" cy="8483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889000</xdr:colOff>
      <xdr:row>0</xdr:row>
      <xdr:rowOff>39687</xdr:rowOff>
    </xdr:from>
    <xdr:to>
      <xdr:col>7</xdr:col>
      <xdr:colOff>612458</xdr:colOff>
      <xdr:row>4</xdr:row>
      <xdr:rowOff>157304</xdr:rowOff>
    </xdr:to>
    <xdr:pic>
      <xdr:nvPicPr>
        <xdr:cNvPr id="3" name="Picture 2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470150" y="39370"/>
          <a:ext cx="4952365" cy="841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14942</xdr:colOff>
      <xdr:row>0</xdr:row>
      <xdr:rowOff>29884</xdr:rowOff>
    </xdr:from>
    <xdr:to>
      <xdr:col>6</xdr:col>
      <xdr:colOff>892138</xdr:colOff>
      <xdr:row>4</xdr:row>
      <xdr:rowOff>158707</xdr:rowOff>
    </xdr:to>
    <xdr:pic>
      <xdr:nvPicPr>
        <xdr:cNvPr id="3" name="Picture 2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595755" y="29845"/>
          <a:ext cx="4991735" cy="8521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609599</xdr:colOff>
      <xdr:row>0</xdr:row>
      <xdr:rowOff>190499</xdr:rowOff>
    </xdr:from>
    <xdr:to>
      <xdr:col>17</xdr:col>
      <xdr:colOff>180974</xdr:colOff>
      <xdr:row>25</xdr:row>
      <xdr:rowOff>28574</xdr:rowOff>
    </xdr:to>
    <xdr:graphicFrame>
      <xdr:nvGraphicFramePr>
        <xdr:cNvPr id="2" name="Chart 1"/>
        <xdr:cNvGraphicFramePr/>
      </xdr:nvGraphicFramePr>
      <xdr:xfrm>
        <a:off x="2933700" y="189865"/>
        <a:ext cx="7981315" cy="46005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4" refreshedVersion="4" minRefreshableVersion="3" refreshedDate="45810.5992622685" refreshedBy="admin" recordCount="68">
  <cacheSource type="worksheet">
    <worksheetSource ref="B1:C69" sheet="C_Section_Marks"/>
  </cacheSource>
  <cacheFields count="2">
    <cacheField name="USN" numFmtId="0"/>
    <cacheField name="Total Marks " numFmtId="0">
      <sharedItems containsSemiMixedTypes="0" containsString="0" containsNumber="1" containsInteger="1" minValue="0" maxValue="50" count="16">
        <n v="44"/>
        <n v="49"/>
        <n v="38"/>
        <n v="46"/>
        <n v="4"/>
        <n v="37"/>
        <n v="42"/>
        <n v="45"/>
        <n v="48"/>
        <n v="43"/>
        <n v="47"/>
        <n v="41"/>
        <n v="50"/>
        <n v="35"/>
        <n v="40"/>
        <n v="39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68">
  <r>
    <s v="1DS22IS129"/>
    <x v="0"/>
  </r>
  <r>
    <s v="1DS22IS130"/>
    <x v="1"/>
  </r>
  <r>
    <s v="1DS22IS131"/>
    <x v="0"/>
  </r>
  <r>
    <s v="1DS22IS132"/>
    <x v="2"/>
  </r>
  <r>
    <s v="1DS22IS133"/>
    <x v="3"/>
  </r>
  <r>
    <s v="1DS22IS134"/>
    <x v="4"/>
  </r>
  <r>
    <s v="1DS22IS135"/>
    <x v="5"/>
  </r>
  <r>
    <s v="1DS22IS136"/>
    <x v="6"/>
  </r>
  <r>
    <s v="1DS22IS137"/>
    <x v="7"/>
  </r>
  <r>
    <s v="1DS22IS138"/>
    <x v="1"/>
  </r>
  <r>
    <s v="1DS22IS139"/>
    <x v="8"/>
  </r>
  <r>
    <s v="1DS22IS140"/>
    <x v="9"/>
  </r>
  <r>
    <s v="1DS22IS141"/>
    <x v="8"/>
  </r>
  <r>
    <s v="1DS22IS142"/>
    <x v="1"/>
  </r>
  <r>
    <s v="1DS22IS143"/>
    <x v="1"/>
  </r>
  <r>
    <s v="1DS22IS144"/>
    <x v="10"/>
  </r>
  <r>
    <s v="1DS22IS145"/>
    <x v="8"/>
  </r>
  <r>
    <s v="1DS22IS146"/>
    <x v="8"/>
  </r>
  <r>
    <s v="1DS22IS147"/>
    <x v="9"/>
  </r>
  <r>
    <s v="1DS22IS148"/>
    <x v="8"/>
  </r>
  <r>
    <s v="1DS22IS149"/>
    <x v="10"/>
  </r>
  <r>
    <s v="1DS22IS150"/>
    <x v="8"/>
  </r>
  <r>
    <s v="1DS22IS151"/>
    <x v="1"/>
  </r>
  <r>
    <s v="1DS22IS152"/>
    <x v="3"/>
  </r>
  <r>
    <s v="1DS22IS153"/>
    <x v="3"/>
  </r>
  <r>
    <s v="1DS22IS154"/>
    <x v="7"/>
  </r>
  <r>
    <s v="1DS22IS155"/>
    <x v="11"/>
  </r>
  <r>
    <s v="1DS22IS156"/>
    <x v="3"/>
  </r>
  <r>
    <s v="1DS22IS157"/>
    <x v="1"/>
  </r>
  <r>
    <s v="1DS22IS158"/>
    <x v="8"/>
  </r>
  <r>
    <s v="1DS22IS159"/>
    <x v="9"/>
  </r>
  <r>
    <s v="1DS22IS160"/>
    <x v="2"/>
  </r>
  <r>
    <s v="1DS22IS161"/>
    <x v="7"/>
  </r>
  <r>
    <s v="1DS22IS162"/>
    <x v="0"/>
  </r>
  <r>
    <s v="1DS22IS163"/>
    <x v="0"/>
  </r>
  <r>
    <s v="1DS22IS164"/>
    <x v="3"/>
  </r>
  <r>
    <s v="1DS22IS165"/>
    <x v="0"/>
  </r>
  <r>
    <s v="1DS22IS166"/>
    <x v="1"/>
  </r>
  <r>
    <s v="1DS22IS167"/>
    <x v="8"/>
  </r>
  <r>
    <s v="1DS22IS168"/>
    <x v="12"/>
  </r>
  <r>
    <s v="1DS22IS169"/>
    <x v="7"/>
  </r>
  <r>
    <s v="1DS22IS170"/>
    <x v="13"/>
  </r>
  <r>
    <s v="1DS22IS171"/>
    <x v="8"/>
  </r>
  <r>
    <s v="1DS22IS172"/>
    <x v="3"/>
  </r>
  <r>
    <s v="1DS22IS173"/>
    <x v="13"/>
  </r>
  <r>
    <s v="1DS22IS174"/>
    <x v="2"/>
  </r>
  <r>
    <s v="1DS22IS175"/>
    <x v="10"/>
  </r>
  <r>
    <s v="1DS22IS176"/>
    <x v="2"/>
  </r>
  <r>
    <s v="1DS22IS177"/>
    <x v="3"/>
  </r>
  <r>
    <s v="1DS22IS178"/>
    <x v="0"/>
  </r>
  <r>
    <s v="1DS22IS179"/>
    <x v="10"/>
  </r>
  <r>
    <s v="1DS22IS180"/>
    <x v="3"/>
  </r>
  <r>
    <s v="1DS22IS181"/>
    <x v="3"/>
  </r>
  <r>
    <s v="1DS22IS182"/>
    <x v="2"/>
  </r>
  <r>
    <s v="1DS22IS183"/>
    <x v="7"/>
  </r>
  <r>
    <s v="1DS22IS184"/>
    <x v="0"/>
  </r>
  <r>
    <s v="1DS22IS185"/>
    <x v="6"/>
  </r>
  <r>
    <s v="1DS22IS186"/>
    <x v="1"/>
  </r>
  <r>
    <s v="1DS22IS187"/>
    <x v="14"/>
  </r>
  <r>
    <s v="1DS22IS188"/>
    <x v="0"/>
  </r>
  <r>
    <s v="1DS22IS189"/>
    <x v="13"/>
  </r>
  <r>
    <s v="1DS22IS191"/>
    <x v="3"/>
  </r>
  <r>
    <s v="1DS23IS402"/>
    <x v="15"/>
  </r>
  <r>
    <s v="1DS23IS404"/>
    <x v="5"/>
  </r>
  <r>
    <s v="1DS23IS410"/>
    <x v="6"/>
  </r>
  <r>
    <s v="1DS23IS415"/>
    <x v="11"/>
  </r>
  <r>
    <s v="1DS23IS416"/>
    <x v="14"/>
  </r>
  <r>
    <s v="1DS23IS417"/>
    <x v="1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" cacheId="0" autoFormatId="1" applyNumberFormats="0" applyBorderFormats="0" applyFontFormats="0" applyPatternFormats="0" applyAlignmentFormats="0" applyWidthHeightFormats="1" dataCaption="Values" updatedVersion="4" minRefreshableVersion="3" createdVersion="4" useAutoFormatting="1" indent="0" outline="1" outlineData="1" showDrill="1" multipleFieldFilters="0" chartFormat="2">
  <location ref="A1:B18" firstHeaderRow="1" firstDataRow="1" firstDataCol="1"/>
  <pivotFields count="2">
    <pivotField dataField="1" showAll="0"/>
    <pivotField axis="axisRow" showAll="0">
      <items count="17">
        <item x="4"/>
        <item x="13"/>
        <item x="5"/>
        <item x="2"/>
        <item x="15"/>
        <item x="14"/>
        <item x="11"/>
        <item x="6"/>
        <item x="9"/>
        <item x="0"/>
        <item x="7"/>
        <item x="3"/>
        <item x="10"/>
        <item x="8"/>
        <item x="1"/>
        <item x="12"/>
        <item t="default"/>
      </items>
    </pivotField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rowItems>
  <colItems count="1">
    <i/>
  </colItems>
  <dataFields count="1">
    <dataField name="Count of USN" fld="0" subtotal="count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7:U219"/>
  <sheetViews>
    <sheetView workbookViewId="0">
      <pane ySplit="12" topLeftCell="A98" activePane="bottomLeft" state="frozen"/>
      <selection/>
      <selection pane="bottomLeft" activeCell="B7" sqref="B7"/>
    </sheetView>
  </sheetViews>
  <sheetFormatPr defaultColWidth="9.14285714285714" defaultRowHeight="15"/>
  <cols>
    <col min="1" max="1" width="4.85714285714286" customWidth="1"/>
    <col min="2" max="2" width="23.4285714285714" customWidth="1"/>
    <col min="3" max="3" width="32.8571428571429" customWidth="1"/>
    <col min="4" max="4" width="11" customWidth="1"/>
    <col min="5" max="5" width="9.57142857142857" customWidth="1"/>
    <col min="6" max="6" width="11" customWidth="1"/>
    <col min="7" max="7" width="9.57142857142857" customWidth="1"/>
    <col min="8" max="8" width="11" customWidth="1"/>
    <col min="9" max="9" width="9.57142857142857" customWidth="1"/>
    <col min="10" max="10" width="12.2857142857143" customWidth="1"/>
    <col min="11" max="11" width="9.14285714285714" customWidth="1"/>
    <col min="12" max="12" width="10.7142857142857" customWidth="1"/>
    <col min="13" max="13" width="9.14285714285714" customWidth="1"/>
    <col min="14" max="14" width="10.4285714285714" customWidth="1"/>
    <col min="15" max="15" width="15.8571428571429" customWidth="1"/>
    <col min="16" max="16" width="9.14285714285714" customWidth="1"/>
    <col min="17" max="17" width="14.1428571428571" customWidth="1"/>
    <col min="18" max="18" width="10.8571428571429" customWidth="1"/>
    <col min="19" max="19" width="12.4285714285714" customWidth="1"/>
  </cols>
  <sheetData>
    <row r="7" customHeight="1" spans="3:13">
      <c r="C7" s="37" t="s">
        <v>0</v>
      </c>
      <c r="D7" s="37"/>
      <c r="E7" s="37"/>
      <c r="F7" s="37"/>
      <c r="G7" s="37"/>
      <c r="H7" s="37"/>
      <c r="I7" s="37"/>
      <c r="J7" s="37"/>
      <c r="K7" s="37"/>
      <c r="L7" s="37"/>
      <c r="M7" s="37"/>
    </row>
    <row r="8" spans="3:8">
      <c r="C8" s="38"/>
      <c r="D8" s="38"/>
      <c r="E8" s="38"/>
      <c r="F8" s="38"/>
      <c r="G8" s="38"/>
      <c r="H8" s="38"/>
    </row>
    <row r="9" spans="3:8">
      <c r="C9" s="39" t="s">
        <v>1</v>
      </c>
      <c r="D9" s="39"/>
      <c r="E9" s="39" t="s">
        <v>2</v>
      </c>
      <c r="F9" s="39"/>
      <c r="G9" s="38"/>
      <c r="H9" s="38"/>
    </row>
    <row r="10" spans="3:8">
      <c r="C10" s="39" t="s">
        <v>3</v>
      </c>
      <c r="D10" s="39"/>
      <c r="E10" s="39" t="s">
        <v>4</v>
      </c>
      <c r="F10" s="39"/>
      <c r="G10" s="38"/>
      <c r="H10" s="36"/>
    </row>
    <row r="12" ht="38.25" spans="1:21">
      <c r="A12" s="1" t="s">
        <v>5</v>
      </c>
      <c r="B12" s="2" t="s">
        <v>6</v>
      </c>
      <c r="C12" s="2" t="s">
        <v>7</v>
      </c>
      <c r="D12" s="2" t="s">
        <v>8</v>
      </c>
      <c r="E12" s="1" t="s">
        <v>9</v>
      </c>
      <c r="F12" s="2" t="s">
        <v>10</v>
      </c>
      <c r="G12" s="1" t="s">
        <v>11</v>
      </c>
      <c r="H12" s="2" t="s">
        <v>12</v>
      </c>
      <c r="I12" s="1" t="s">
        <v>13</v>
      </c>
      <c r="J12" s="1" t="s">
        <v>14</v>
      </c>
      <c r="K12" s="51" t="s">
        <v>15</v>
      </c>
      <c r="L12" s="52" t="s">
        <v>16</v>
      </c>
      <c r="M12" s="1" t="s">
        <v>17</v>
      </c>
      <c r="N12" s="1" t="s">
        <v>18</v>
      </c>
      <c r="O12" s="1" t="s">
        <v>19</v>
      </c>
      <c r="P12" s="59" t="s">
        <v>20</v>
      </c>
      <c r="Q12" s="59" t="s">
        <v>21</v>
      </c>
      <c r="R12" s="59" t="s">
        <v>22</v>
      </c>
      <c r="S12" s="59" t="s">
        <v>23</v>
      </c>
      <c r="T12" t="s">
        <v>24</v>
      </c>
      <c r="U12" t="s">
        <v>25</v>
      </c>
    </row>
    <row r="13" spans="1:19">
      <c r="A13" s="4">
        <v>1</v>
      </c>
      <c r="B13" s="5" t="s">
        <v>26</v>
      </c>
      <c r="C13" s="13" t="s">
        <v>27</v>
      </c>
      <c r="D13" s="48">
        <v>45</v>
      </c>
      <c r="E13" s="49">
        <f>((D13*30)/50)</f>
        <v>27</v>
      </c>
      <c r="F13" s="48">
        <v>46</v>
      </c>
      <c r="G13" s="49">
        <f>((F13*30)/50)</f>
        <v>27.6</v>
      </c>
      <c r="H13" s="48">
        <v>40</v>
      </c>
      <c r="I13" s="49">
        <f>((H13*30)/50)</f>
        <v>24</v>
      </c>
      <c r="J13" s="49">
        <f t="shared" ref="J13:J76" si="0">((E13+G13+I13)/3)</f>
        <v>26.2</v>
      </c>
      <c r="K13" s="53">
        <v>30</v>
      </c>
      <c r="L13" s="54">
        <f>((K13*10)/30)</f>
        <v>10</v>
      </c>
      <c r="M13" s="55">
        <v>1</v>
      </c>
      <c r="N13" s="56">
        <f>SUM(J13,L13,M13)</f>
        <v>37.2</v>
      </c>
      <c r="O13" s="56">
        <f>(N13/50)*30</f>
        <v>22.32</v>
      </c>
      <c r="P13" s="56">
        <f>'Lab Component'!K13</f>
        <v>19</v>
      </c>
      <c r="Q13" s="56">
        <f t="shared" ref="Q13:Q76" si="1">(O13+P13)</f>
        <v>41.32</v>
      </c>
      <c r="R13" s="56">
        <f>ROUNDUP(Q13,0)</f>
        <v>42</v>
      </c>
      <c r="S13" s="3"/>
    </row>
    <row r="14" spans="1:19">
      <c r="A14" s="4">
        <v>2</v>
      </c>
      <c r="B14" s="5" t="s">
        <v>28</v>
      </c>
      <c r="C14" s="13" t="s">
        <v>29</v>
      </c>
      <c r="D14" s="48">
        <v>1</v>
      </c>
      <c r="E14" s="49">
        <f t="shared" ref="E14:E77" si="2">((D14*30)/50)</f>
        <v>0.6</v>
      </c>
      <c r="F14" s="48">
        <v>1</v>
      </c>
      <c r="G14" s="49">
        <f t="shared" ref="G14:G77" si="3">((F14*30)/50)</f>
        <v>0.6</v>
      </c>
      <c r="H14" s="48">
        <v>1</v>
      </c>
      <c r="I14" s="49">
        <f t="shared" ref="I14:I77" si="4">((H14*30)/50)</f>
        <v>0.6</v>
      </c>
      <c r="J14" s="49">
        <f t="shared" si="0"/>
        <v>0.6</v>
      </c>
      <c r="K14" s="48">
        <v>30</v>
      </c>
      <c r="L14" s="54">
        <f t="shared" ref="L14:L77" si="5">((K14*10)/30)</f>
        <v>10</v>
      </c>
      <c r="M14" s="48">
        <v>1</v>
      </c>
      <c r="N14" s="56">
        <f t="shared" ref="N14:N77" si="6">SUM(J14,L14,M14)</f>
        <v>11.6</v>
      </c>
      <c r="O14" s="56">
        <f t="shared" ref="O14:O77" si="7">(N14/50)*30</f>
        <v>6.96</v>
      </c>
      <c r="P14" s="56">
        <f>'Lab Component'!K14</f>
        <v>20</v>
      </c>
      <c r="Q14" s="56">
        <f t="shared" si="1"/>
        <v>26.96</v>
      </c>
      <c r="R14" s="56">
        <f t="shared" ref="R14:R77" si="8">ROUNDUP(Q14,0)</f>
        <v>27</v>
      </c>
      <c r="S14" s="3"/>
    </row>
    <row r="15" spans="1:19">
      <c r="A15" s="4">
        <v>3</v>
      </c>
      <c r="B15" s="5" t="s">
        <v>30</v>
      </c>
      <c r="C15" s="13" t="s">
        <v>31</v>
      </c>
      <c r="D15" s="48">
        <v>1</v>
      </c>
      <c r="E15" s="49">
        <f t="shared" si="2"/>
        <v>0.6</v>
      </c>
      <c r="F15" s="48">
        <v>1</v>
      </c>
      <c r="G15" s="49">
        <f t="shared" si="3"/>
        <v>0.6</v>
      </c>
      <c r="H15" s="48">
        <v>1</v>
      </c>
      <c r="I15" s="49">
        <f t="shared" si="4"/>
        <v>0.6</v>
      </c>
      <c r="J15" s="49">
        <f t="shared" si="0"/>
        <v>0.6</v>
      </c>
      <c r="K15" s="48">
        <v>30</v>
      </c>
      <c r="L15" s="54">
        <f t="shared" si="5"/>
        <v>10</v>
      </c>
      <c r="M15" s="48">
        <v>1</v>
      </c>
      <c r="N15" s="56">
        <f t="shared" si="6"/>
        <v>11.6</v>
      </c>
      <c r="O15" s="56">
        <f t="shared" si="7"/>
        <v>6.96</v>
      </c>
      <c r="P15" s="56">
        <f>'Lab Component'!K15</f>
        <v>20</v>
      </c>
      <c r="Q15" s="56">
        <f t="shared" si="1"/>
        <v>26.96</v>
      </c>
      <c r="R15" s="56">
        <f t="shared" si="8"/>
        <v>27</v>
      </c>
      <c r="S15" s="3"/>
    </row>
    <row r="16" spans="1:19">
      <c r="A16" s="4">
        <v>4</v>
      </c>
      <c r="B16" s="5" t="s">
        <v>32</v>
      </c>
      <c r="C16" s="13" t="s">
        <v>33</v>
      </c>
      <c r="D16" s="48">
        <v>1</v>
      </c>
      <c r="E16" s="49">
        <f t="shared" si="2"/>
        <v>0.6</v>
      </c>
      <c r="F16" s="48">
        <v>1</v>
      </c>
      <c r="G16" s="49">
        <f t="shared" si="3"/>
        <v>0.6</v>
      </c>
      <c r="H16" s="48">
        <v>1</v>
      </c>
      <c r="I16" s="49">
        <f t="shared" si="4"/>
        <v>0.6</v>
      </c>
      <c r="J16" s="49">
        <f t="shared" si="0"/>
        <v>0.6</v>
      </c>
      <c r="K16" s="48">
        <v>28</v>
      </c>
      <c r="L16" s="54">
        <f t="shared" si="5"/>
        <v>9.33333333333333</v>
      </c>
      <c r="M16" s="48">
        <v>1</v>
      </c>
      <c r="N16" s="56">
        <f t="shared" si="6"/>
        <v>10.9333333333333</v>
      </c>
      <c r="O16" s="56">
        <f t="shared" si="7"/>
        <v>6.56</v>
      </c>
      <c r="P16" s="56">
        <f>'Lab Component'!K16</f>
        <v>20</v>
      </c>
      <c r="Q16" s="56">
        <f t="shared" si="1"/>
        <v>26.56</v>
      </c>
      <c r="R16" s="56">
        <f t="shared" si="8"/>
        <v>27</v>
      </c>
      <c r="S16" s="3"/>
    </row>
    <row r="17" spans="1:19">
      <c r="A17" s="4">
        <v>5</v>
      </c>
      <c r="B17" s="5" t="s">
        <v>34</v>
      </c>
      <c r="C17" s="13" t="s">
        <v>35</v>
      </c>
      <c r="D17" s="48">
        <v>1</v>
      </c>
      <c r="E17" s="49">
        <f t="shared" si="2"/>
        <v>0.6</v>
      </c>
      <c r="F17" s="48">
        <v>1</v>
      </c>
      <c r="G17" s="49">
        <f t="shared" si="3"/>
        <v>0.6</v>
      </c>
      <c r="H17" s="48">
        <v>1</v>
      </c>
      <c r="I17" s="49">
        <f t="shared" si="4"/>
        <v>0.6</v>
      </c>
      <c r="J17" s="49">
        <f t="shared" si="0"/>
        <v>0.6</v>
      </c>
      <c r="K17" s="48">
        <v>30</v>
      </c>
      <c r="L17" s="54">
        <f t="shared" si="5"/>
        <v>10</v>
      </c>
      <c r="M17" s="48">
        <v>1</v>
      </c>
      <c r="N17" s="56">
        <f t="shared" si="6"/>
        <v>11.6</v>
      </c>
      <c r="O17" s="56">
        <f t="shared" si="7"/>
        <v>6.96</v>
      </c>
      <c r="P17" s="56">
        <f>'Lab Component'!K17</f>
        <v>19</v>
      </c>
      <c r="Q17" s="56">
        <f t="shared" si="1"/>
        <v>25.96</v>
      </c>
      <c r="R17" s="56">
        <f t="shared" si="8"/>
        <v>26</v>
      </c>
      <c r="S17" s="3"/>
    </row>
    <row r="18" spans="1:19">
      <c r="A18" s="4">
        <v>6</v>
      </c>
      <c r="B18" s="5" t="s">
        <v>36</v>
      </c>
      <c r="C18" s="13" t="s">
        <v>37</v>
      </c>
      <c r="D18" s="48">
        <v>1</v>
      </c>
      <c r="E18" s="49">
        <f t="shared" si="2"/>
        <v>0.6</v>
      </c>
      <c r="F18" s="48">
        <v>1</v>
      </c>
      <c r="G18" s="49">
        <f t="shared" si="3"/>
        <v>0.6</v>
      </c>
      <c r="H18" s="48">
        <v>1</v>
      </c>
      <c r="I18" s="49">
        <f t="shared" si="4"/>
        <v>0.6</v>
      </c>
      <c r="J18" s="49">
        <f t="shared" si="0"/>
        <v>0.6</v>
      </c>
      <c r="K18" s="48">
        <v>30</v>
      </c>
      <c r="L18" s="54">
        <f t="shared" si="5"/>
        <v>10</v>
      </c>
      <c r="M18" s="48">
        <v>1</v>
      </c>
      <c r="N18" s="56">
        <f t="shared" si="6"/>
        <v>11.6</v>
      </c>
      <c r="O18" s="56">
        <f t="shared" si="7"/>
        <v>6.96</v>
      </c>
      <c r="P18" s="56">
        <f>'Lab Component'!K18</f>
        <v>19</v>
      </c>
      <c r="Q18" s="56">
        <f t="shared" si="1"/>
        <v>25.96</v>
      </c>
      <c r="R18" s="56">
        <f t="shared" si="8"/>
        <v>26</v>
      </c>
      <c r="S18" s="3"/>
    </row>
    <row r="19" spans="1:19">
      <c r="A19" s="4">
        <v>7</v>
      </c>
      <c r="B19" s="5" t="s">
        <v>38</v>
      </c>
      <c r="C19" s="13" t="s">
        <v>39</v>
      </c>
      <c r="D19" s="48">
        <v>1</v>
      </c>
      <c r="E19" s="49">
        <f t="shared" si="2"/>
        <v>0.6</v>
      </c>
      <c r="F19" s="48">
        <v>1</v>
      </c>
      <c r="G19" s="49">
        <f t="shared" si="3"/>
        <v>0.6</v>
      </c>
      <c r="H19" s="48">
        <v>1</v>
      </c>
      <c r="I19" s="49">
        <f t="shared" si="4"/>
        <v>0.6</v>
      </c>
      <c r="J19" s="49">
        <f t="shared" si="0"/>
        <v>0.6</v>
      </c>
      <c r="K19" s="48">
        <v>30</v>
      </c>
      <c r="L19" s="54">
        <f t="shared" si="5"/>
        <v>10</v>
      </c>
      <c r="M19" s="48">
        <v>1</v>
      </c>
      <c r="N19" s="56">
        <f t="shared" si="6"/>
        <v>11.6</v>
      </c>
      <c r="O19" s="56">
        <f t="shared" si="7"/>
        <v>6.96</v>
      </c>
      <c r="P19" s="56">
        <f>'Lab Component'!K19</f>
        <v>19</v>
      </c>
      <c r="Q19" s="56">
        <f t="shared" si="1"/>
        <v>25.96</v>
      </c>
      <c r="R19" s="56">
        <f t="shared" si="8"/>
        <v>26</v>
      </c>
      <c r="S19" s="3"/>
    </row>
    <row r="20" spans="1:19">
      <c r="A20" s="4">
        <v>8</v>
      </c>
      <c r="B20" s="5" t="s">
        <v>40</v>
      </c>
      <c r="C20" s="13" t="s">
        <v>41</v>
      </c>
      <c r="D20" s="48">
        <v>1</v>
      </c>
      <c r="E20" s="49">
        <f t="shared" si="2"/>
        <v>0.6</v>
      </c>
      <c r="F20" s="48">
        <v>1</v>
      </c>
      <c r="G20" s="49">
        <f t="shared" si="3"/>
        <v>0.6</v>
      </c>
      <c r="H20" s="48">
        <v>1</v>
      </c>
      <c r="I20" s="49">
        <f t="shared" si="4"/>
        <v>0.6</v>
      </c>
      <c r="J20" s="49">
        <f t="shared" si="0"/>
        <v>0.6</v>
      </c>
      <c r="K20" s="48">
        <v>30</v>
      </c>
      <c r="L20" s="54">
        <f t="shared" si="5"/>
        <v>10</v>
      </c>
      <c r="M20" s="48">
        <v>1</v>
      </c>
      <c r="N20" s="56">
        <f t="shared" si="6"/>
        <v>11.6</v>
      </c>
      <c r="O20" s="56">
        <f t="shared" si="7"/>
        <v>6.96</v>
      </c>
      <c r="P20" s="56">
        <f>'Lab Component'!K20</f>
        <v>20</v>
      </c>
      <c r="Q20" s="56">
        <f t="shared" si="1"/>
        <v>26.96</v>
      </c>
      <c r="R20" s="56">
        <f t="shared" si="8"/>
        <v>27</v>
      </c>
      <c r="S20" s="3"/>
    </row>
    <row r="21" spans="1:19">
      <c r="A21" s="4">
        <v>9</v>
      </c>
      <c r="B21" s="5" t="s">
        <v>42</v>
      </c>
      <c r="C21" s="13" t="s">
        <v>43</v>
      </c>
      <c r="D21" s="48">
        <v>1</v>
      </c>
      <c r="E21" s="49">
        <f t="shared" si="2"/>
        <v>0.6</v>
      </c>
      <c r="F21" s="48">
        <v>1</v>
      </c>
      <c r="G21" s="49">
        <f t="shared" si="3"/>
        <v>0.6</v>
      </c>
      <c r="H21" s="48">
        <v>1</v>
      </c>
      <c r="I21" s="49">
        <f t="shared" si="4"/>
        <v>0.6</v>
      </c>
      <c r="J21" s="49">
        <f t="shared" si="0"/>
        <v>0.6</v>
      </c>
      <c r="K21" s="48">
        <v>30</v>
      </c>
      <c r="L21" s="54">
        <f t="shared" si="5"/>
        <v>10</v>
      </c>
      <c r="M21" s="48">
        <v>1</v>
      </c>
      <c r="N21" s="56">
        <f t="shared" si="6"/>
        <v>11.6</v>
      </c>
      <c r="O21" s="56">
        <f t="shared" si="7"/>
        <v>6.96</v>
      </c>
      <c r="P21" s="56">
        <f>'Lab Component'!K21</f>
        <v>19</v>
      </c>
      <c r="Q21" s="56">
        <f t="shared" si="1"/>
        <v>25.96</v>
      </c>
      <c r="R21" s="56">
        <f t="shared" si="8"/>
        <v>26</v>
      </c>
      <c r="S21" s="3"/>
    </row>
    <row r="22" spans="1:19">
      <c r="A22" s="4">
        <v>10</v>
      </c>
      <c r="B22" s="5" t="s">
        <v>44</v>
      </c>
      <c r="C22" s="13" t="s">
        <v>45</v>
      </c>
      <c r="D22" s="48">
        <v>1</v>
      </c>
      <c r="E22" s="49">
        <f t="shared" si="2"/>
        <v>0.6</v>
      </c>
      <c r="F22" s="48">
        <v>1</v>
      </c>
      <c r="G22" s="49">
        <f t="shared" si="3"/>
        <v>0.6</v>
      </c>
      <c r="H22" s="48">
        <v>1</v>
      </c>
      <c r="I22" s="49">
        <f t="shared" si="4"/>
        <v>0.6</v>
      </c>
      <c r="J22" s="49">
        <f t="shared" si="0"/>
        <v>0.6</v>
      </c>
      <c r="K22" s="48">
        <v>30</v>
      </c>
      <c r="L22" s="54">
        <f t="shared" si="5"/>
        <v>10</v>
      </c>
      <c r="M22" s="48">
        <v>1</v>
      </c>
      <c r="N22" s="56">
        <f t="shared" si="6"/>
        <v>11.6</v>
      </c>
      <c r="O22" s="56">
        <f t="shared" si="7"/>
        <v>6.96</v>
      </c>
      <c r="P22" s="56">
        <f>'Lab Component'!K22</f>
        <v>20</v>
      </c>
      <c r="Q22" s="56">
        <f t="shared" si="1"/>
        <v>26.96</v>
      </c>
      <c r="R22" s="56">
        <f t="shared" si="8"/>
        <v>27</v>
      </c>
      <c r="S22" s="3"/>
    </row>
    <row r="23" spans="1:19">
      <c r="A23" s="4">
        <v>11</v>
      </c>
      <c r="B23" s="5" t="s">
        <v>46</v>
      </c>
      <c r="C23" s="13" t="s">
        <v>47</v>
      </c>
      <c r="D23" s="48">
        <v>1</v>
      </c>
      <c r="E23" s="49">
        <f t="shared" si="2"/>
        <v>0.6</v>
      </c>
      <c r="F23" s="48">
        <v>1</v>
      </c>
      <c r="G23" s="49">
        <f t="shared" si="3"/>
        <v>0.6</v>
      </c>
      <c r="H23" s="48">
        <v>1</v>
      </c>
      <c r="I23" s="49">
        <f t="shared" si="4"/>
        <v>0.6</v>
      </c>
      <c r="J23" s="49">
        <f t="shared" si="0"/>
        <v>0.6</v>
      </c>
      <c r="K23" s="48">
        <v>30</v>
      </c>
      <c r="L23" s="54">
        <f t="shared" si="5"/>
        <v>10</v>
      </c>
      <c r="M23" s="48">
        <v>1</v>
      </c>
      <c r="N23" s="56">
        <f t="shared" si="6"/>
        <v>11.6</v>
      </c>
      <c r="O23" s="56">
        <f t="shared" si="7"/>
        <v>6.96</v>
      </c>
      <c r="P23" s="56">
        <f>'Lab Component'!K23</f>
        <v>19</v>
      </c>
      <c r="Q23" s="56">
        <f t="shared" si="1"/>
        <v>25.96</v>
      </c>
      <c r="R23" s="56">
        <f t="shared" si="8"/>
        <v>26</v>
      </c>
      <c r="S23" s="3"/>
    </row>
    <row r="24" spans="1:19">
      <c r="A24" s="4">
        <v>12</v>
      </c>
      <c r="B24" s="5" t="s">
        <v>48</v>
      </c>
      <c r="C24" s="13" t="s">
        <v>49</v>
      </c>
      <c r="D24" s="48">
        <v>1</v>
      </c>
      <c r="E24" s="49">
        <f t="shared" si="2"/>
        <v>0.6</v>
      </c>
      <c r="F24" s="48">
        <v>1</v>
      </c>
      <c r="G24" s="49">
        <f t="shared" si="3"/>
        <v>0.6</v>
      </c>
      <c r="H24" s="48">
        <v>1</v>
      </c>
      <c r="I24" s="49">
        <f t="shared" si="4"/>
        <v>0.6</v>
      </c>
      <c r="J24" s="49">
        <f t="shared" si="0"/>
        <v>0.6</v>
      </c>
      <c r="K24" s="48">
        <v>30</v>
      </c>
      <c r="L24" s="54">
        <f t="shared" si="5"/>
        <v>10</v>
      </c>
      <c r="M24" s="48">
        <v>1</v>
      </c>
      <c r="N24" s="56">
        <f t="shared" si="6"/>
        <v>11.6</v>
      </c>
      <c r="O24" s="56">
        <f t="shared" si="7"/>
        <v>6.96</v>
      </c>
      <c r="P24" s="56">
        <f>'Lab Component'!K24</f>
        <v>19</v>
      </c>
      <c r="Q24" s="56">
        <f t="shared" si="1"/>
        <v>25.96</v>
      </c>
      <c r="R24" s="56">
        <f t="shared" si="8"/>
        <v>26</v>
      </c>
      <c r="S24" s="3"/>
    </row>
    <row r="25" spans="1:19">
      <c r="A25" s="4">
        <v>13</v>
      </c>
      <c r="B25" s="5" t="s">
        <v>50</v>
      </c>
      <c r="C25" s="13" t="s">
        <v>51</v>
      </c>
      <c r="D25" s="48">
        <v>1</v>
      </c>
      <c r="E25" s="49">
        <f t="shared" si="2"/>
        <v>0.6</v>
      </c>
      <c r="F25" s="48">
        <v>1</v>
      </c>
      <c r="G25" s="49">
        <f t="shared" si="3"/>
        <v>0.6</v>
      </c>
      <c r="H25" s="48">
        <v>1</v>
      </c>
      <c r="I25" s="49">
        <f t="shared" si="4"/>
        <v>0.6</v>
      </c>
      <c r="J25" s="49">
        <f t="shared" si="0"/>
        <v>0.6</v>
      </c>
      <c r="K25" s="48">
        <v>30</v>
      </c>
      <c r="L25" s="54">
        <f t="shared" si="5"/>
        <v>10</v>
      </c>
      <c r="M25" s="48">
        <v>1</v>
      </c>
      <c r="N25" s="56">
        <f t="shared" si="6"/>
        <v>11.6</v>
      </c>
      <c r="O25" s="56">
        <f t="shared" si="7"/>
        <v>6.96</v>
      </c>
      <c r="P25" s="56">
        <f>'Lab Component'!K25</f>
        <v>20</v>
      </c>
      <c r="Q25" s="56">
        <f t="shared" si="1"/>
        <v>26.96</v>
      </c>
      <c r="R25" s="56">
        <f t="shared" si="8"/>
        <v>27</v>
      </c>
      <c r="S25" s="3"/>
    </row>
    <row r="26" spans="1:19">
      <c r="A26" s="4">
        <v>14</v>
      </c>
      <c r="B26" s="5" t="s">
        <v>52</v>
      </c>
      <c r="C26" s="13" t="s">
        <v>53</v>
      </c>
      <c r="D26" s="48">
        <v>1</v>
      </c>
      <c r="E26" s="49">
        <f t="shared" si="2"/>
        <v>0.6</v>
      </c>
      <c r="F26" s="48">
        <v>1</v>
      </c>
      <c r="G26" s="49">
        <f t="shared" si="3"/>
        <v>0.6</v>
      </c>
      <c r="H26" s="48">
        <v>1</v>
      </c>
      <c r="I26" s="49">
        <f t="shared" si="4"/>
        <v>0.6</v>
      </c>
      <c r="J26" s="49">
        <f t="shared" si="0"/>
        <v>0.6</v>
      </c>
      <c r="K26" s="48">
        <v>30</v>
      </c>
      <c r="L26" s="54">
        <f t="shared" si="5"/>
        <v>10</v>
      </c>
      <c r="M26" s="48">
        <v>1</v>
      </c>
      <c r="N26" s="56">
        <f t="shared" si="6"/>
        <v>11.6</v>
      </c>
      <c r="O26" s="56">
        <f t="shared" si="7"/>
        <v>6.96</v>
      </c>
      <c r="P26" s="56">
        <f>'Lab Component'!K26</f>
        <v>19</v>
      </c>
      <c r="Q26" s="56">
        <f t="shared" si="1"/>
        <v>25.96</v>
      </c>
      <c r="R26" s="56">
        <f t="shared" si="8"/>
        <v>26</v>
      </c>
      <c r="S26" s="3"/>
    </row>
    <row r="27" spans="1:19">
      <c r="A27" s="4">
        <v>15</v>
      </c>
      <c r="B27" s="5" t="s">
        <v>54</v>
      </c>
      <c r="C27" s="13" t="s">
        <v>55</v>
      </c>
      <c r="D27" s="48">
        <v>1</v>
      </c>
      <c r="E27" s="49">
        <f t="shared" si="2"/>
        <v>0.6</v>
      </c>
      <c r="F27" s="48">
        <v>1</v>
      </c>
      <c r="G27" s="49">
        <f t="shared" si="3"/>
        <v>0.6</v>
      </c>
      <c r="H27" s="48">
        <v>1</v>
      </c>
      <c r="I27" s="49">
        <f t="shared" si="4"/>
        <v>0.6</v>
      </c>
      <c r="J27" s="49">
        <f t="shared" si="0"/>
        <v>0.6</v>
      </c>
      <c r="K27" s="48">
        <v>30</v>
      </c>
      <c r="L27" s="54">
        <f t="shared" si="5"/>
        <v>10</v>
      </c>
      <c r="M27" s="48">
        <v>1</v>
      </c>
      <c r="N27" s="56">
        <f t="shared" si="6"/>
        <v>11.6</v>
      </c>
      <c r="O27" s="56">
        <f t="shared" si="7"/>
        <v>6.96</v>
      </c>
      <c r="P27" s="56">
        <f>'Lab Component'!K27</f>
        <v>20</v>
      </c>
      <c r="Q27" s="56">
        <f t="shared" si="1"/>
        <v>26.96</v>
      </c>
      <c r="R27" s="56">
        <f t="shared" si="8"/>
        <v>27</v>
      </c>
      <c r="S27" s="3"/>
    </row>
    <row r="28" spans="1:19">
      <c r="A28" s="4">
        <v>16</v>
      </c>
      <c r="B28" s="5" t="s">
        <v>56</v>
      </c>
      <c r="C28" s="13" t="s">
        <v>57</v>
      </c>
      <c r="D28" s="48">
        <v>1</v>
      </c>
      <c r="E28" s="49">
        <f t="shared" si="2"/>
        <v>0.6</v>
      </c>
      <c r="F28" s="48">
        <v>1</v>
      </c>
      <c r="G28" s="49">
        <f t="shared" si="3"/>
        <v>0.6</v>
      </c>
      <c r="H28" s="48">
        <v>1</v>
      </c>
      <c r="I28" s="49">
        <f t="shared" si="4"/>
        <v>0.6</v>
      </c>
      <c r="J28" s="49">
        <f t="shared" si="0"/>
        <v>0.6</v>
      </c>
      <c r="K28" s="48">
        <v>30</v>
      </c>
      <c r="L28" s="54">
        <f t="shared" si="5"/>
        <v>10</v>
      </c>
      <c r="M28" s="48">
        <v>1</v>
      </c>
      <c r="N28" s="56">
        <f t="shared" si="6"/>
        <v>11.6</v>
      </c>
      <c r="O28" s="56">
        <f t="shared" si="7"/>
        <v>6.96</v>
      </c>
      <c r="P28" s="56">
        <f>'Lab Component'!K28</f>
        <v>20</v>
      </c>
      <c r="Q28" s="56">
        <f t="shared" si="1"/>
        <v>26.96</v>
      </c>
      <c r="R28" s="56">
        <f t="shared" si="8"/>
        <v>27</v>
      </c>
      <c r="S28" s="3"/>
    </row>
    <row r="29" spans="1:19">
      <c r="A29" s="4">
        <v>17</v>
      </c>
      <c r="B29" s="5" t="s">
        <v>58</v>
      </c>
      <c r="C29" s="13" t="s">
        <v>59</v>
      </c>
      <c r="D29" s="48">
        <v>1</v>
      </c>
      <c r="E29" s="49">
        <f t="shared" si="2"/>
        <v>0.6</v>
      </c>
      <c r="F29" s="48">
        <v>1</v>
      </c>
      <c r="G29" s="49">
        <f t="shared" si="3"/>
        <v>0.6</v>
      </c>
      <c r="H29" s="48">
        <v>1</v>
      </c>
      <c r="I29" s="49">
        <f t="shared" si="4"/>
        <v>0.6</v>
      </c>
      <c r="J29" s="49">
        <f t="shared" si="0"/>
        <v>0.6</v>
      </c>
      <c r="K29" s="48">
        <v>30</v>
      </c>
      <c r="L29" s="54">
        <f t="shared" si="5"/>
        <v>10</v>
      </c>
      <c r="M29" s="48">
        <v>1</v>
      </c>
      <c r="N29" s="56">
        <f t="shared" si="6"/>
        <v>11.6</v>
      </c>
      <c r="O29" s="56">
        <f t="shared" si="7"/>
        <v>6.96</v>
      </c>
      <c r="P29" s="56">
        <f>'Lab Component'!K29</f>
        <v>20</v>
      </c>
      <c r="Q29" s="56">
        <f t="shared" si="1"/>
        <v>26.96</v>
      </c>
      <c r="R29" s="56">
        <f t="shared" si="8"/>
        <v>27</v>
      </c>
      <c r="S29" s="3"/>
    </row>
    <row r="30" spans="1:19">
      <c r="A30" s="4">
        <v>18</v>
      </c>
      <c r="B30" s="5" t="s">
        <v>60</v>
      </c>
      <c r="C30" s="13" t="s">
        <v>61</v>
      </c>
      <c r="D30" s="48">
        <v>1</v>
      </c>
      <c r="E30" s="49">
        <f t="shared" si="2"/>
        <v>0.6</v>
      </c>
      <c r="F30" s="48">
        <v>1</v>
      </c>
      <c r="G30" s="49">
        <f t="shared" si="3"/>
        <v>0.6</v>
      </c>
      <c r="H30" s="48">
        <v>1</v>
      </c>
      <c r="I30" s="49">
        <f t="shared" si="4"/>
        <v>0.6</v>
      </c>
      <c r="J30" s="49">
        <f t="shared" si="0"/>
        <v>0.6</v>
      </c>
      <c r="K30" s="48">
        <v>30</v>
      </c>
      <c r="L30" s="54">
        <f t="shared" si="5"/>
        <v>10</v>
      </c>
      <c r="M30" s="48">
        <v>1</v>
      </c>
      <c r="N30" s="56">
        <f t="shared" si="6"/>
        <v>11.6</v>
      </c>
      <c r="O30" s="56">
        <f t="shared" si="7"/>
        <v>6.96</v>
      </c>
      <c r="P30" s="56">
        <f>'Lab Component'!K30</f>
        <v>20</v>
      </c>
      <c r="Q30" s="56">
        <f t="shared" si="1"/>
        <v>26.96</v>
      </c>
      <c r="R30" s="56">
        <f t="shared" si="8"/>
        <v>27</v>
      </c>
      <c r="S30" s="3"/>
    </row>
    <row r="31" spans="1:19">
      <c r="A31" s="4">
        <v>19</v>
      </c>
      <c r="B31" s="5" t="s">
        <v>62</v>
      </c>
      <c r="C31" s="13" t="s">
        <v>63</v>
      </c>
      <c r="D31" s="48">
        <v>1</v>
      </c>
      <c r="E31" s="49">
        <f t="shared" si="2"/>
        <v>0.6</v>
      </c>
      <c r="F31" s="48">
        <v>1</v>
      </c>
      <c r="G31" s="49">
        <f t="shared" si="3"/>
        <v>0.6</v>
      </c>
      <c r="H31" s="48">
        <v>1</v>
      </c>
      <c r="I31" s="49">
        <f t="shared" si="4"/>
        <v>0.6</v>
      </c>
      <c r="J31" s="49">
        <f t="shared" si="0"/>
        <v>0.6</v>
      </c>
      <c r="K31" s="48">
        <v>30</v>
      </c>
      <c r="L31" s="54">
        <f t="shared" si="5"/>
        <v>10</v>
      </c>
      <c r="M31" s="48">
        <v>1</v>
      </c>
      <c r="N31" s="56">
        <f t="shared" si="6"/>
        <v>11.6</v>
      </c>
      <c r="O31" s="56">
        <f t="shared" si="7"/>
        <v>6.96</v>
      </c>
      <c r="P31" s="56">
        <f>'Lab Component'!K31</f>
        <v>20</v>
      </c>
      <c r="Q31" s="56">
        <f t="shared" si="1"/>
        <v>26.96</v>
      </c>
      <c r="R31" s="56">
        <f t="shared" si="8"/>
        <v>27</v>
      </c>
      <c r="S31" s="3"/>
    </row>
    <row r="32" spans="1:19">
      <c r="A32" s="4">
        <v>20</v>
      </c>
      <c r="B32" s="5" t="s">
        <v>64</v>
      </c>
      <c r="C32" s="13" t="s">
        <v>65</v>
      </c>
      <c r="D32" s="48">
        <v>1</v>
      </c>
      <c r="E32" s="49">
        <f t="shared" si="2"/>
        <v>0.6</v>
      </c>
      <c r="F32" s="48">
        <v>1</v>
      </c>
      <c r="G32" s="49">
        <f t="shared" si="3"/>
        <v>0.6</v>
      </c>
      <c r="H32" s="48">
        <v>1</v>
      </c>
      <c r="I32" s="49">
        <f t="shared" si="4"/>
        <v>0.6</v>
      </c>
      <c r="J32" s="49">
        <f t="shared" si="0"/>
        <v>0.6</v>
      </c>
      <c r="K32" s="48"/>
      <c r="L32" s="54">
        <f t="shared" si="5"/>
        <v>0</v>
      </c>
      <c r="M32" s="48">
        <v>1</v>
      </c>
      <c r="N32" s="56">
        <f t="shared" si="6"/>
        <v>1.6</v>
      </c>
      <c r="O32" s="56">
        <f t="shared" si="7"/>
        <v>0.96</v>
      </c>
      <c r="P32" s="56">
        <f>'Lab Component'!K32</f>
        <v>19</v>
      </c>
      <c r="Q32" s="56">
        <f t="shared" si="1"/>
        <v>19.96</v>
      </c>
      <c r="R32" s="56">
        <f t="shared" si="8"/>
        <v>20</v>
      </c>
      <c r="S32" s="3"/>
    </row>
    <row r="33" spans="1:19">
      <c r="A33" s="4">
        <v>21</v>
      </c>
      <c r="B33" s="5" t="s">
        <v>66</v>
      </c>
      <c r="C33" s="13" t="s">
        <v>67</v>
      </c>
      <c r="D33" s="48">
        <v>1</v>
      </c>
      <c r="E33" s="49">
        <f t="shared" si="2"/>
        <v>0.6</v>
      </c>
      <c r="F33" s="48">
        <v>1</v>
      </c>
      <c r="G33" s="49">
        <f t="shared" si="3"/>
        <v>0.6</v>
      </c>
      <c r="H33" s="48">
        <v>1</v>
      </c>
      <c r="I33" s="49">
        <f t="shared" si="4"/>
        <v>0.6</v>
      </c>
      <c r="J33" s="49">
        <f t="shared" si="0"/>
        <v>0.6</v>
      </c>
      <c r="K33" s="57">
        <v>30</v>
      </c>
      <c r="L33" s="54">
        <f t="shared" si="5"/>
        <v>10</v>
      </c>
      <c r="M33" s="48">
        <v>1</v>
      </c>
      <c r="N33" s="56">
        <f t="shared" si="6"/>
        <v>11.6</v>
      </c>
      <c r="O33" s="56">
        <f t="shared" si="7"/>
        <v>6.96</v>
      </c>
      <c r="P33" s="56">
        <f>'Lab Component'!K33</f>
        <v>20</v>
      </c>
      <c r="Q33" s="56">
        <f t="shared" si="1"/>
        <v>26.96</v>
      </c>
      <c r="R33" s="56">
        <f t="shared" si="8"/>
        <v>27</v>
      </c>
      <c r="S33" s="3"/>
    </row>
    <row r="34" spans="1:19">
      <c r="A34" s="4">
        <v>22</v>
      </c>
      <c r="B34" s="5" t="s">
        <v>68</v>
      </c>
      <c r="C34" s="13" t="s">
        <v>69</v>
      </c>
      <c r="D34" s="48">
        <v>1</v>
      </c>
      <c r="E34" s="49">
        <f t="shared" si="2"/>
        <v>0.6</v>
      </c>
      <c r="F34" s="48">
        <v>1</v>
      </c>
      <c r="G34" s="49">
        <v>4</v>
      </c>
      <c r="H34" s="48">
        <v>1</v>
      </c>
      <c r="I34" s="49">
        <f t="shared" si="4"/>
        <v>0.6</v>
      </c>
      <c r="J34" s="49">
        <f t="shared" si="0"/>
        <v>1.73333333333333</v>
      </c>
      <c r="K34" s="58">
        <v>30</v>
      </c>
      <c r="L34" s="54">
        <f t="shared" si="5"/>
        <v>10</v>
      </c>
      <c r="M34" s="48">
        <v>1</v>
      </c>
      <c r="N34" s="56">
        <f t="shared" si="6"/>
        <v>12.7333333333333</v>
      </c>
      <c r="O34" s="56">
        <f t="shared" si="7"/>
        <v>7.64</v>
      </c>
      <c r="P34" s="56">
        <f>'Lab Component'!K34</f>
        <v>19</v>
      </c>
      <c r="Q34" s="56">
        <f t="shared" si="1"/>
        <v>26.64</v>
      </c>
      <c r="R34" s="56">
        <f t="shared" si="8"/>
        <v>27</v>
      </c>
      <c r="S34" s="3"/>
    </row>
    <row r="35" spans="1:19">
      <c r="A35" s="4">
        <v>23</v>
      </c>
      <c r="B35" s="5" t="s">
        <v>70</v>
      </c>
      <c r="C35" s="13" t="s">
        <v>71</v>
      </c>
      <c r="D35" s="48">
        <v>1</v>
      </c>
      <c r="E35" s="49">
        <f t="shared" si="2"/>
        <v>0.6</v>
      </c>
      <c r="F35" s="48">
        <v>1</v>
      </c>
      <c r="G35" s="49">
        <f t="shared" si="3"/>
        <v>0.6</v>
      </c>
      <c r="H35" s="48">
        <v>1</v>
      </c>
      <c r="I35" s="49">
        <f t="shared" si="4"/>
        <v>0.6</v>
      </c>
      <c r="J35" s="49">
        <f t="shared" si="0"/>
        <v>0.6</v>
      </c>
      <c r="K35" s="57">
        <v>30</v>
      </c>
      <c r="L35" s="54">
        <f t="shared" si="5"/>
        <v>10</v>
      </c>
      <c r="M35" s="48">
        <v>1</v>
      </c>
      <c r="N35" s="56">
        <f t="shared" si="6"/>
        <v>11.6</v>
      </c>
      <c r="O35" s="56">
        <f t="shared" si="7"/>
        <v>6.96</v>
      </c>
      <c r="P35" s="56">
        <f>'Lab Component'!K35</f>
        <v>19</v>
      </c>
      <c r="Q35" s="56">
        <f t="shared" si="1"/>
        <v>25.96</v>
      </c>
      <c r="R35" s="56">
        <f t="shared" si="8"/>
        <v>26</v>
      </c>
      <c r="S35" s="3"/>
    </row>
    <row r="36" spans="1:19">
      <c r="A36" s="4">
        <v>24</v>
      </c>
      <c r="B36" s="5" t="s">
        <v>72</v>
      </c>
      <c r="C36" s="13" t="s">
        <v>73</v>
      </c>
      <c r="D36" s="48">
        <v>1</v>
      </c>
      <c r="E36" s="49">
        <f t="shared" si="2"/>
        <v>0.6</v>
      </c>
      <c r="F36" s="48">
        <v>1</v>
      </c>
      <c r="G36" s="49">
        <f t="shared" si="3"/>
        <v>0.6</v>
      </c>
      <c r="H36" s="48">
        <v>1</v>
      </c>
      <c r="I36" s="49">
        <f t="shared" si="4"/>
        <v>0.6</v>
      </c>
      <c r="J36" s="49">
        <f t="shared" si="0"/>
        <v>0.6</v>
      </c>
      <c r="K36" s="58">
        <v>30</v>
      </c>
      <c r="L36" s="54">
        <f t="shared" si="5"/>
        <v>10</v>
      </c>
      <c r="M36" s="48">
        <v>1</v>
      </c>
      <c r="N36" s="56">
        <f t="shared" si="6"/>
        <v>11.6</v>
      </c>
      <c r="O36" s="56">
        <f t="shared" si="7"/>
        <v>6.96</v>
      </c>
      <c r="P36" s="56">
        <f>'Lab Component'!K36</f>
        <v>19</v>
      </c>
      <c r="Q36" s="56">
        <f t="shared" si="1"/>
        <v>25.96</v>
      </c>
      <c r="R36" s="56">
        <f t="shared" si="8"/>
        <v>26</v>
      </c>
      <c r="S36" s="3"/>
    </row>
    <row r="37" spans="1:19">
      <c r="A37" s="4">
        <v>25</v>
      </c>
      <c r="B37" s="5" t="s">
        <v>74</v>
      </c>
      <c r="C37" s="13" t="s">
        <v>75</v>
      </c>
      <c r="D37" s="48">
        <v>1</v>
      </c>
      <c r="E37" s="49">
        <f t="shared" si="2"/>
        <v>0.6</v>
      </c>
      <c r="F37" s="48">
        <v>1</v>
      </c>
      <c r="G37" s="49">
        <f t="shared" si="3"/>
        <v>0.6</v>
      </c>
      <c r="H37" s="48">
        <v>1</v>
      </c>
      <c r="I37" s="49">
        <f t="shared" si="4"/>
        <v>0.6</v>
      </c>
      <c r="J37" s="49">
        <f t="shared" si="0"/>
        <v>0.6</v>
      </c>
      <c r="K37" s="57">
        <v>30</v>
      </c>
      <c r="L37" s="54">
        <f t="shared" si="5"/>
        <v>10</v>
      </c>
      <c r="M37" s="48">
        <v>1</v>
      </c>
      <c r="N37" s="56">
        <f t="shared" si="6"/>
        <v>11.6</v>
      </c>
      <c r="O37" s="56">
        <f t="shared" si="7"/>
        <v>6.96</v>
      </c>
      <c r="P37" s="56">
        <f>'Lab Component'!K37</f>
        <v>20</v>
      </c>
      <c r="Q37" s="56">
        <f t="shared" si="1"/>
        <v>26.96</v>
      </c>
      <c r="R37" s="56">
        <f t="shared" si="8"/>
        <v>27</v>
      </c>
      <c r="S37" s="3"/>
    </row>
    <row r="38" spans="1:19">
      <c r="A38" s="4">
        <v>26</v>
      </c>
      <c r="B38" s="5" t="s">
        <v>76</v>
      </c>
      <c r="C38" s="13" t="s">
        <v>77</v>
      </c>
      <c r="D38" s="48">
        <v>1</v>
      </c>
      <c r="E38" s="49">
        <f t="shared" si="2"/>
        <v>0.6</v>
      </c>
      <c r="F38" s="48">
        <v>1</v>
      </c>
      <c r="G38" s="49">
        <f t="shared" si="3"/>
        <v>0.6</v>
      </c>
      <c r="H38" s="48">
        <v>1</v>
      </c>
      <c r="I38" s="49">
        <f t="shared" si="4"/>
        <v>0.6</v>
      </c>
      <c r="J38" s="49">
        <f t="shared" si="0"/>
        <v>0.6</v>
      </c>
      <c r="K38" s="58">
        <v>30</v>
      </c>
      <c r="L38" s="54">
        <f t="shared" si="5"/>
        <v>10</v>
      </c>
      <c r="M38" s="48">
        <v>1</v>
      </c>
      <c r="N38" s="56">
        <f t="shared" si="6"/>
        <v>11.6</v>
      </c>
      <c r="O38" s="56">
        <f t="shared" si="7"/>
        <v>6.96</v>
      </c>
      <c r="P38" s="56">
        <f>'Lab Component'!K38</f>
        <v>20</v>
      </c>
      <c r="Q38" s="56">
        <f t="shared" si="1"/>
        <v>26.96</v>
      </c>
      <c r="R38" s="56">
        <f t="shared" si="8"/>
        <v>27</v>
      </c>
      <c r="S38" s="3"/>
    </row>
    <row r="39" spans="1:19">
      <c r="A39" s="4">
        <v>27</v>
      </c>
      <c r="B39" s="5" t="s">
        <v>78</v>
      </c>
      <c r="C39" s="13" t="s">
        <v>79</v>
      </c>
      <c r="D39" s="48">
        <v>1</v>
      </c>
      <c r="E39" s="49">
        <f t="shared" si="2"/>
        <v>0.6</v>
      </c>
      <c r="F39" s="48">
        <v>1</v>
      </c>
      <c r="G39" s="49">
        <f t="shared" si="3"/>
        <v>0.6</v>
      </c>
      <c r="H39" s="48">
        <v>1</v>
      </c>
      <c r="I39" s="49">
        <f t="shared" si="4"/>
        <v>0.6</v>
      </c>
      <c r="J39" s="49">
        <f t="shared" si="0"/>
        <v>0.6</v>
      </c>
      <c r="K39" s="48">
        <v>30</v>
      </c>
      <c r="L39" s="54">
        <f t="shared" si="5"/>
        <v>10</v>
      </c>
      <c r="M39" s="48">
        <v>1</v>
      </c>
      <c r="N39" s="56">
        <f t="shared" si="6"/>
        <v>11.6</v>
      </c>
      <c r="O39" s="56">
        <f t="shared" si="7"/>
        <v>6.96</v>
      </c>
      <c r="P39" s="56">
        <f>'Lab Component'!K39</f>
        <v>19</v>
      </c>
      <c r="Q39" s="56">
        <f t="shared" si="1"/>
        <v>25.96</v>
      </c>
      <c r="R39" s="56">
        <f t="shared" si="8"/>
        <v>26</v>
      </c>
      <c r="S39" s="3"/>
    </row>
    <row r="40" spans="1:19">
      <c r="A40" s="4">
        <v>28</v>
      </c>
      <c r="B40" s="5" t="s">
        <v>80</v>
      </c>
      <c r="C40" s="13" t="s">
        <v>81</v>
      </c>
      <c r="D40" s="48">
        <v>1</v>
      </c>
      <c r="E40" s="49">
        <f t="shared" si="2"/>
        <v>0.6</v>
      </c>
      <c r="F40" s="48">
        <v>1</v>
      </c>
      <c r="G40" s="49">
        <f t="shared" si="3"/>
        <v>0.6</v>
      </c>
      <c r="H40" s="48">
        <v>1</v>
      </c>
      <c r="I40" s="49">
        <f t="shared" si="4"/>
        <v>0.6</v>
      </c>
      <c r="J40" s="49">
        <f t="shared" si="0"/>
        <v>0.6</v>
      </c>
      <c r="K40" s="48">
        <v>30</v>
      </c>
      <c r="L40" s="54">
        <f t="shared" si="5"/>
        <v>10</v>
      </c>
      <c r="M40" s="48">
        <v>1</v>
      </c>
      <c r="N40" s="56">
        <f t="shared" si="6"/>
        <v>11.6</v>
      </c>
      <c r="O40" s="56">
        <f t="shared" si="7"/>
        <v>6.96</v>
      </c>
      <c r="P40" s="56">
        <f>'Lab Component'!K40</f>
        <v>20</v>
      </c>
      <c r="Q40" s="56">
        <f t="shared" si="1"/>
        <v>26.96</v>
      </c>
      <c r="R40" s="56">
        <f t="shared" si="8"/>
        <v>27</v>
      </c>
      <c r="S40" s="3"/>
    </row>
    <row r="41" spans="1:19">
      <c r="A41" s="4">
        <v>29</v>
      </c>
      <c r="B41" s="5" t="s">
        <v>82</v>
      </c>
      <c r="C41" s="13" t="s">
        <v>83</v>
      </c>
      <c r="D41" s="48">
        <v>1</v>
      </c>
      <c r="E41" s="49">
        <f t="shared" si="2"/>
        <v>0.6</v>
      </c>
      <c r="F41" s="48">
        <v>1</v>
      </c>
      <c r="G41" s="49">
        <f t="shared" si="3"/>
        <v>0.6</v>
      </c>
      <c r="H41" s="48">
        <v>1</v>
      </c>
      <c r="I41" s="49">
        <f t="shared" si="4"/>
        <v>0.6</v>
      </c>
      <c r="J41" s="49">
        <f t="shared" si="0"/>
        <v>0.6</v>
      </c>
      <c r="K41" s="48">
        <v>30</v>
      </c>
      <c r="L41" s="54">
        <f t="shared" si="5"/>
        <v>10</v>
      </c>
      <c r="M41" s="48">
        <v>1</v>
      </c>
      <c r="N41" s="56">
        <f t="shared" si="6"/>
        <v>11.6</v>
      </c>
      <c r="O41" s="56">
        <f t="shared" si="7"/>
        <v>6.96</v>
      </c>
      <c r="P41" s="56">
        <f>'Lab Component'!K41</f>
        <v>20</v>
      </c>
      <c r="Q41" s="56">
        <f t="shared" si="1"/>
        <v>26.96</v>
      </c>
      <c r="R41" s="56">
        <f t="shared" si="8"/>
        <v>27</v>
      </c>
      <c r="S41" s="3"/>
    </row>
    <row r="42" spans="1:19">
      <c r="A42" s="4">
        <v>30</v>
      </c>
      <c r="B42" s="5" t="s">
        <v>84</v>
      </c>
      <c r="C42" s="13" t="s">
        <v>85</v>
      </c>
      <c r="D42" s="48">
        <v>1</v>
      </c>
      <c r="E42" s="49">
        <f t="shared" si="2"/>
        <v>0.6</v>
      </c>
      <c r="F42" s="48">
        <v>1</v>
      </c>
      <c r="G42" s="49">
        <f t="shared" si="3"/>
        <v>0.6</v>
      </c>
      <c r="H42" s="48">
        <v>1</v>
      </c>
      <c r="I42" s="49">
        <f t="shared" si="4"/>
        <v>0.6</v>
      </c>
      <c r="J42" s="49">
        <f t="shared" si="0"/>
        <v>0.6</v>
      </c>
      <c r="K42" s="48">
        <v>30</v>
      </c>
      <c r="L42" s="54">
        <f t="shared" si="5"/>
        <v>10</v>
      </c>
      <c r="M42" s="48">
        <v>1</v>
      </c>
      <c r="N42" s="56">
        <f t="shared" si="6"/>
        <v>11.6</v>
      </c>
      <c r="O42" s="56">
        <f t="shared" si="7"/>
        <v>6.96</v>
      </c>
      <c r="P42" s="56">
        <f>'Lab Component'!K42</f>
        <v>20</v>
      </c>
      <c r="Q42" s="56">
        <f t="shared" si="1"/>
        <v>26.96</v>
      </c>
      <c r="R42" s="56">
        <f t="shared" si="8"/>
        <v>27</v>
      </c>
      <c r="S42" s="3"/>
    </row>
    <row r="43" spans="1:19">
      <c r="A43" s="4">
        <v>31</v>
      </c>
      <c r="B43" s="5" t="s">
        <v>86</v>
      </c>
      <c r="C43" s="13" t="s">
        <v>87</v>
      </c>
      <c r="D43" s="48">
        <v>1</v>
      </c>
      <c r="E43" s="49">
        <f t="shared" si="2"/>
        <v>0.6</v>
      </c>
      <c r="F43" s="48">
        <v>1</v>
      </c>
      <c r="G43" s="49">
        <f t="shared" si="3"/>
        <v>0.6</v>
      </c>
      <c r="H43" s="48">
        <v>1</v>
      </c>
      <c r="I43" s="49">
        <f t="shared" si="4"/>
        <v>0.6</v>
      </c>
      <c r="J43" s="49">
        <f t="shared" si="0"/>
        <v>0.6</v>
      </c>
      <c r="K43" s="48">
        <v>30</v>
      </c>
      <c r="L43" s="54">
        <f t="shared" si="5"/>
        <v>10</v>
      </c>
      <c r="M43" s="48">
        <v>1</v>
      </c>
      <c r="N43" s="56">
        <f t="shared" si="6"/>
        <v>11.6</v>
      </c>
      <c r="O43" s="56">
        <f t="shared" si="7"/>
        <v>6.96</v>
      </c>
      <c r="P43" s="56">
        <f>'Lab Component'!K43</f>
        <v>19</v>
      </c>
      <c r="Q43" s="56">
        <f t="shared" si="1"/>
        <v>25.96</v>
      </c>
      <c r="R43" s="56">
        <f t="shared" si="8"/>
        <v>26</v>
      </c>
      <c r="S43" s="3"/>
    </row>
    <row r="44" spans="1:19">
      <c r="A44" s="4">
        <v>32</v>
      </c>
      <c r="B44" s="5" t="s">
        <v>88</v>
      </c>
      <c r="C44" s="13" t="s">
        <v>89</v>
      </c>
      <c r="D44" s="48">
        <v>1</v>
      </c>
      <c r="E44" s="49">
        <f t="shared" si="2"/>
        <v>0.6</v>
      </c>
      <c r="F44" s="48">
        <v>1</v>
      </c>
      <c r="G44" s="49">
        <f t="shared" si="3"/>
        <v>0.6</v>
      </c>
      <c r="H44" s="48">
        <v>1</v>
      </c>
      <c r="I44" s="49">
        <f t="shared" si="4"/>
        <v>0.6</v>
      </c>
      <c r="J44" s="49">
        <f t="shared" si="0"/>
        <v>0.6</v>
      </c>
      <c r="K44" s="48">
        <v>30</v>
      </c>
      <c r="L44" s="54">
        <f t="shared" si="5"/>
        <v>10</v>
      </c>
      <c r="M44" s="48">
        <v>1</v>
      </c>
      <c r="N44" s="56">
        <f t="shared" si="6"/>
        <v>11.6</v>
      </c>
      <c r="O44" s="56">
        <f t="shared" si="7"/>
        <v>6.96</v>
      </c>
      <c r="P44" s="56">
        <f>'Lab Component'!K44</f>
        <v>20</v>
      </c>
      <c r="Q44" s="56">
        <f t="shared" si="1"/>
        <v>26.96</v>
      </c>
      <c r="R44" s="56">
        <f t="shared" si="8"/>
        <v>27</v>
      </c>
      <c r="S44" s="3"/>
    </row>
    <row r="45" spans="1:19">
      <c r="A45" s="4">
        <v>33</v>
      </c>
      <c r="B45" s="5" t="s">
        <v>90</v>
      </c>
      <c r="C45" s="13" t="s">
        <v>91</v>
      </c>
      <c r="D45" s="48">
        <v>1</v>
      </c>
      <c r="E45" s="49">
        <f t="shared" si="2"/>
        <v>0.6</v>
      </c>
      <c r="F45" s="48">
        <v>1</v>
      </c>
      <c r="G45" s="49">
        <f t="shared" si="3"/>
        <v>0.6</v>
      </c>
      <c r="H45" s="48">
        <v>1</v>
      </c>
      <c r="I45" s="49">
        <f t="shared" si="4"/>
        <v>0.6</v>
      </c>
      <c r="J45" s="49">
        <f t="shared" si="0"/>
        <v>0.6</v>
      </c>
      <c r="K45" s="48">
        <v>30</v>
      </c>
      <c r="L45" s="54">
        <f t="shared" si="5"/>
        <v>10</v>
      </c>
      <c r="M45" s="48">
        <v>1</v>
      </c>
      <c r="N45" s="56">
        <f t="shared" si="6"/>
        <v>11.6</v>
      </c>
      <c r="O45" s="56">
        <f t="shared" si="7"/>
        <v>6.96</v>
      </c>
      <c r="P45" s="56">
        <f>'Lab Component'!K45</f>
        <v>19</v>
      </c>
      <c r="Q45" s="56">
        <f t="shared" si="1"/>
        <v>25.96</v>
      </c>
      <c r="R45" s="56">
        <f t="shared" si="8"/>
        <v>26</v>
      </c>
      <c r="S45" s="3"/>
    </row>
    <row r="46" spans="1:19">
      <c r="A46" s="4">
        <v>34</v>
      </c>
      <c r="B46" s="5" t="s">
        <v>92</v>
      </c>
      <c r="C46" s="13" t="s">
        <v>93</v>
      </c>
      <c r="D46" s="48">
        <v>1</v>
      </c>
      <c r="E46" s="49">
        <f t="shared" si="2"/>
        <v>0.6</v>
      </c>
      <c r="F46" s="48">
        <v>1</v>
      </c>
      <c r="G46" s="49">
        <f t="shared" si="3"/>
        <v>0.6</v>
      </c>
      <c r="H46" s="48">
        <v>1</v>
      </c>
      <c r="I46" s="49">
        <f t="shared" si="4"/>
        <v>0.6</v>
      </c>
      <c r="J46" s="49">
        <f t="shared" si="0"/>
        <v>0.6</v>
      </c>
      <c r="K46" s="48">
        <v>30</v>
      </c>
      <c r="L46" s="54">
        <f t="shared" si="5"/>
        <v>10</v>
      </c>
      <c r="M46" s="48">
        <v>1</v>
      </c>
      <c r="N46" s="56">
        <f t="shared" si="6"/>
        <v>11.6</v>
      </c>
      <c r="O46" s="56">
        <f t="shared" si="7"/>
        <v>6.96</v>
      </c>
      <c r="P46" s="56">
        <f>'Lab Component'!K46</f>
        <v>20</v>
      </c>
      <c r="Q46" s="56">
        <f t="shared" si="1"/>
        <v>26.96</v>
      </c>
      <c r="R46" s="56">
        <f t="shared" si="8"/>
        <v>27</v>
      </c>
      <c r="S46" s="3"/>
    </row>
    <row r="47" spans="1:19">
      <c r="A47" s="4">
        <v>35</v>
      </c>
      <c r="B47" s="5" t="s">
        <v>94</v>
      </c>
      <c r="C47" s="13" t="s">
        <v>95</v>
      </c>
      <c r="D47" s="48">
        <v>1</v>
      </c>
      <c r="E47" s="49">
        <f t="shared" si="2"/>
        <v>0.6</v>
      </c>
      <c r="F47" s="48">
        <v>1</v>
      </c>
      <c r="G47" s="49">
        <f t="shared" si="3"/>
        <v>0.6</v>
      </c>
      <c r="H47" s="48">
        <v>1</v>
      </c>
      <c r="I47" s="49">
        <f t="shared" si="4"/>
        <v>0.6</v>
      </c>
      <c r="J47" s="49">
        <f t="shared" si="0"/>
        <v>0.6</v>
      </c>
      <c r="K47" s="48">
        <v>30</v>
      </c>
      <c r="L47" s="54">
        <f t="shared" si="5"/>
        <v>10</v>
      </c>
      <c r="M47" s="48">
        <v>1</v>
      </c>
      <c r="N47" s="56">
        <f t="shared" si="6"/>
        <v>11.6</v>
      </c>
      <c r="O47" s="56">
        <f t="shared" si="7"/>
        <v>6.96</v>
      </c>
      <c r="P47" s="56">
        <f>'Lab Component'!K47</f>
        <v>19</v>
      </c>
      <c r="Q47" s="56">
        <f t="shared" si="1"/>
        <v>25.96</v>
      </c>
      <c r="R47" s="56">
        <f t="shared" si="8"/>
        <v>26</v>
      </c>
      <c r="S47" s="3"/>
    </row>
    <row r="48" spans="1:19">
      <c r="A48" s="4">
        <v>36</v>
      </c>
      <c r="B48" s="5" t="s">
        <v>96</v>
      </c>
      <c r="C48" s="13" t="s">
        <v>97</v>
      </c>
      <c r="D48" s="48">
        <v>1</v>
      </c>
      <c r="E48" s="49">
        <f t="shared" si="2"/>
        <v>0.6</v>
      </c>
      <c r="F48" s="48">
        <v>1</v>
      </c>
      <c r="G48" s="49">
        <f t="shared" si="3"/>
        <v>0.6</v>
      </c>
      <c r="H48" s="48">
        <v>1</v>
      </c>
      <c r="I48" s="49">
        <f t="shared" si="4"/>
        <v>0.6</v>
      </c>
      <c r="J48" s="49">
        <f t="shared" si="0"/>
        <v>0.6</v>
      </c>
      <c r="K48" s="48">
        <v>30</v>
      </c>
      <c r="L48" s="54">
        <f t="shared" si="5"/>
        <v>10</v>
      </c>
      <c r="M48" s="48">
        <v>1</v>
      </c>
      <c r="N48" s="56">
        <f t="shared" si="6"/>
        <v>11.6</v>
      </c>
      <c r="O48" s="56">
        <f t="shared" si="7"/>
        <v>6.96</v>
      </c>
      <c r="P48" s="56">
        <f>'Lab Component'!K48</f>
        <v>19</v>
      </c>
      <c r="Q48" s="56">
        <f t="shared" si="1"/>
        <v>25.96</v>
      </c>
      <c r="R48" s="56">
        <f t="shared" si="8"/>
        <v>26</v>
      </c>
      <c r="S48" s="3"/>
    </row>
    <row r="49" spans="1:19">
      <c r="A49" s="4">
        <v>37</v>
      </c>
      <c r="B49" s="5" t="s">
        <v>98</v>
      </c>
      <c r="C49" s="13" t="s">
        <v>99</v>
      </c>
      <c r="D49" s="48">
        <v>1</v>
      </c>
      <c r="E49" s="49">
        <f t="shared" si="2"/>
        <v>0.6</v>
      </c>
      <c r="F49" s="48">
        <v>1</v>
      </c>
      <c r="G49" s="49">
        <f t="shared" si="3"/>
        <v>0.6</v>
      </c>
      <c r="H49" s="48">
        <v>1</v>
      </c>
      <c r="I49" s="49">
        <f t="shared" si="4"/>
        <v>0.6</v>
      </c>
      <c r="J49" s="49">
        <f t="shared" si="0"/>
        <v>0.6</v>
      </c>
      <c r="K49" s="48">
        <v>30</v>
      </c>
      <c r="L49" s="54">
        <f t="shared" si="5"/>
        <v>10</v>
      </c>
      <c r="M49" s="48">
        <v>1</v>
      </c>
      <c r="N49" s="56">
        <f t="shared" si="6"/>
        <v>11.6</v>
      </c>
      <c r="O49" s="56">
        <f t="shared" si="7"/>
        <v>6.96</v>
      </c>
      <c r="P49" s="56">
        <f>'Lab Component'!K49</f>
        <v>18</v>
      </c>
      <c r="Q49" s="56">
        <f t="shared" si="1"/>
        <v>24.96</v>
      </c>
      <c r="R49" s="56">
        <f t="shared" si="8"/>
        <v>25</v>
      </c>
      <c r="S49" s="3"/>
    </row>
    <row r="50" spans="1:19">
      <c r="A50" s="4">
        <v>38</v>
      </c>
      <c r="B50" s="5" t="s">
        <v>100</v>
      </c>
      <c r="C50" s="13" t="s">
        <v>101</v>
      </c>
      <c r="D50" s="48">
        <v>1</v>
      </c>
      <c r="E50" s="49">
        <f t="shared" si="2"/>
        <v>0.6</v>
      </c>
      <c r="F50" s="48">
        <v>1</v>
      </c>
      <c r="G50" s="49">
        <f t="shared" si="3"/>
        <v>0.6</v>
      </c>
      <c r="H50" s="48">
        <v>1</v>
      </c>
      <c r="I50" s="49">
        <f t="shared" si="4"/>
        <v>0.6</v>
      </c>
      <c r="J50" s="49">
        <f t="shared" si="0"/>
        <v>0.6</v>
      </c>
      <c r="K50" s="48">
        <v>30</v>
      </c>
      <c r="L50" s="54">
        <f t="shared" si="5"/>
        <v>10</v>
      </c>
      <c r="M50" s="48">
        <v>1</v>
      </c>
      <c r="N50" s="56">
        <f t="shared" si="6"/>
        <v>11.6</v>
      </c>
      <c r="O50" s="56">
        <f t="shared" si="7"/>
        <v>6.96</v>
      </c>
      <c r="P50" s="56">
        <f>'Lab Component'!K50</f>
        <v>20</v>
      </c>
      <c r="Q50" s="56">
        <f t="shared" si="1"/>
        <v>26.96</v>
      </c>
      <c r="R50" s="56">
        <f t="shared" si="8"/>
        <v>27</v>
      </c>
      <c r="S50" s="3"/>
    </row>
    <row r="51" spans="1:19">
      <c r="A51" s="4">
        <v>39</v>
      </c>
      <c r="B51" s="5" t="s">
        <v>102</v>
      </c>
      <c r="C51" s="13" t="s">
        <v>103</v>
      </c>
      <c r="D51" s="48">
        <v>1</v>
      </c>
      <c r="E51" s="49">
        <f t="shared" si="2"/>
        <v>0.6</v>
      </c>
      <c r="F51" s="48">
        <v>1</v>
      </c>
      <c r="G51" s="49">
        <f t="shared" si="3"/>
        <v>0.6</v>
      </c>
      <c r="H51" s="48">
        <v>1</v>
      </c>
      <c r="I51" s="49">
        <f t="shared" si="4"/>
        <v>0.6</v>
      </c>
      <c r="J51" s="49">
        <f t="shared" si="0"/>
        <v>0.6</v>
      </c>
      <c r="K51" s="48">
        <v>30</v>
      </c>
      <c r="L51" s="54">
        <f t="shared" si="5"/>
        <v>10</v>
      </c>
      <c r="M51" s="48">
        <v>1</v>
      </c>
      <c r="N51" s="56">
        <f t="shared" si="6"/>
        <v>11.6</v>
      </c>
      <c r="O51" s="56">
        <f t="shared" si="7"/>
        <v>6.96</v>
      </c>
      <c r="P51" s="56">
        <f>'Lab Component'!K51</f>
        <v>20</v>
      </c>
      <c r="Q51" s="56">
        <f t="shared" si="1"/>
        <v>26.96</v>
      </c>
      <c r="R51" s="56">
        <f t="shared" si="8"/>
        <v>27</v>
      </c>
      <c r="S51" s="3"/>
    </row>
    <row r="52" spans="1:19">
      <c r="A52" s="4">
        <v>40</v>
      </c>
      <c r="B52" s="5" t="s">
        <v>104</v>
      </c>
      <c r="C52" s="13" t="s">
        <v>105</v>
      </c>
      <c r="D52" s="48">
        <v>1</v>
      </c>
      <c r="E52" s="49">
        <f t="shared" si="2"/>
        <v>0.6</v>
      </c>
      <c r="F52" s="48">
        <v>1</v>
      </c>
      <c r="G52" s="49">
        <f t="shared" si="3"/>
        <v>0.6</v>
      </c>
      <c r="H52" s="48">
        <v>1</v>
      </c>
      <c r="I52" s="49">
        <f t="shared" si="4"/>
        <v>0.6</v>
      </c>
      <c r="J52" s="49">
        <f t="shared" si="0"/>
        <v>0.6</v>
      </c>
      <c r="K52" s="48">
        <v>30</v>
      </c>
      <c r="L52" s="54">
        <f t="shared" si="5"/>
        <v>10</v>
      </c>
      <c r="M52" s="48">
        <v>1</v>
      </c>
      <c r="N52" s="56">
        <f t="shared" si="6"/>
        <v>11.6</v>
      </c>
      <c r="O52" s="56">
        <f t="shared" si="7"/>
        <v>6.96</v>
      </c>
      <c r="P52" s="56">
        <f>'Lab Component'!K52</f>
        <v>20</v>
      </c>
      <c r="Q52" s="56">
        <f t="shared" si="1"/>
        <v>26.96</v>
      </c>
      <c r="R52" s="56">
        <f t="shared" si="8"/>
        <v>27</v>
      </c>
      <c r="S52" s="3"/>
    </row>
    <row r="53" spans="1:19">
      <c r="A53" s="4">
        <v>41</v>
      </c>
      <c r="B53" s="5" t="s">
        <v>106</v>
      </c>
      <c r="C53" s="13" t="s">
        <v>107</v>
      </c>
      <c r="D53" s="48">
        <v>1</v>
      </c>
      <c r="E53" s="49">
        <f t="shared" si="2"/>
        <v>0.6</v>
      </c>
      <c r="F53" s="48">
        <v>1</v>
      </c>
      <c r="G53" s="49">
        <f t="shared" si="3"/>
        <v>0.6</v>
      </c>
      <c r="H53" s="48">
        <v>1</v>
      </c>
      <c r="I53" s="49">
        <f t="shared" si="4"/>
        <v>0.6</v>
      </c>
      <c r="J53" s="49">
        <f t="shared" si="0"/>
        <v>0.6</v>
      </c>
      <c r="K53" s="48">
        <v>30</v>
      </c>
      <c r="L53" s="54">
        <f t="shared" si="5"/>
        <v>10</v>
      </c>
      <c r="M53" s="48">
        <v>1</v>
      </c>
      <c r="N53" s="56">
        <f t="shared" si="6"/>
        <v>11.6</v>
      </c>
      <c r="O53" s="56">
        <f t="shared" si="7"/>
        <v>6.96</v>
      </c>
      <c r="P53" s="56">
        <f>'Lab Component'!K53</f>
        <v>19</v>
      </c>
      <c r="Q53" s="56">
        <f t="shared" si="1"/>
        <v>25.96</v>
      </c>
      <c r="R53" s="56">
        <f t="shared" si="8"/>
        <v>26</v>
      </c>
      <c r="S53" s="3"/>
    </row>
    <row r="54" spans="1:19">
      <c r="A54" s="4">
        <v>42</v>
      </c>
      <c r="B54" s="5" t="s">
        <v>108</v>
      </c>
      <c r="C54" s="13" t="s">
        <v>109</v>
      </c>
      <c r="D54" s="48">
        <v>1</v>
      </c>
      <c r="E54" s="49">
        <f t="shared" si="2"/>
        <v>0.6</v>
      </c>
      <c r="F54" s="48">
        <v>1</v>
      </c>
      <c r="G54" s="49">
        <f t="shared" si="3"/>
        <v>0.6</v>
      </c>
      <c r="H54" s="48">
        <v>1</v>
      </c>
      <c r="I54" s="49">
        <f t="shared" si="4"/>
        <v>0.6</v>
      </c>
      <c r="J54" s="49">
        <f t="shared" si="0"/>
        <v>0.6</v>
      </c>
      <c r="K54" s="48">
        <v>30</v>
      </c>
      <c r="L54" s="54">
        <f t="shared" si="5"/>
        <v>10</v>
      </c>
      <c r="M54" s="48">
        <v>1</v>
      </c>
      <c r="N54" s="56">
        <f t="shared" si="6"/>
        <v>11.6</v>
      </c>
      <c r="O54" s="56">
        <f t="shared" si="7"/>
        <v>6.96</v>
      </c>
      <c r="P54" s="56">
        <f>'Lab Component'!K54</f>
        <v>19</v>
      </c>
      <c r="Q54" s="56">
        <f t="shared" si="1"/>
        <v>25.96</v>
      </c>
      <c r="R54" s="56">
        <f t="shared" si="8"/>
        <v>26</v>
      </c>
      <c r="S54" s="3"/>
    </row>
    <row r="55" spans="1:19">
      <c r="A55" s="4">
        <v>43</v>
      </c>
      <c r="B55" s="5" t="s">
        <v>110</v>
      </c>
      <c r="C55" s="13" t="s">
        <v>111</v>
      </c>
      <c r="D55" s="48">
        <v>1</v>
      </c>
      <c r="E55" s="49">
        <f t="shared" si="2"/>
        <v>0.6</v>
      </c>
      <c r="F55" s="48">
        <v>1</v>
      </c>
      <c r="G55" s="49">
        <f t="shared" si="3"/>
        <v>0.6</v>
      </c>
      <c r="H55" s="48">
        <v>1</v>
      </c>
      <c r="I55" s="49">
        <f t="shared" si="4"/>
        <v>0.6</v>
      </c>
      <c r="J55" s="49">
        <f t="shared" si="0"/>
        <v>0.6</v>
      </c>
      <c r="K55" s="48">
        <v>30</v>
      </c>
      <c r="L55" s="54">
        <f t="shared" si="5"/>
        <v>10</v>
      </c>
      <c r="M55" s="48">
        <v>1</v>
      </c>
      <c r="N55" s="56">
        <f t="shared" si="6"/>
        <v>11.6</v>
      </c>
      <c r="O55" s="56">
        <f t="shared" si="7"/>
        <v>6.96</v>
      </c>
      <c r="P55" s="56">
        <f>'Lab Component'!K55</f>
        <v>19</v>
      </c>
      <c r="Q55" s="56">
        <f t="shared" si="1"/>
        <v>25.96</v>
      </c>
      <c r="R55" s="56">
        <f t="shared" si="8"/>
        <v>26</v>
      </c>
      <c r="S55" s="3"/>
    </row>
    <row r="56" spans="1:19">
      <c r="A56" s="4">
        <v>44</v>
      </c>
      <c r="B56" s="5" t="s">
        <v>112</v>
      </c>
      <c r="C56" s="13" t="s">
        <v>113</v>
      </c>
      <c r="D56" s="48">
        <v>1</v>
      </c>
      <c r="E56" s="49">
        <f t="shared" si="2"/>
        <v>0.6</v>
      </c>
      <c r="F56" s="48">
        <v>1</v>
      </c>
      <c r="G56" s="49">
        <f t="shared" si="3"/>
        <v>0.6</v>
      </c>
      <c r="H56" s="48">
        <v>1</v>
      </c>
      <c r="I56" s="49">
        <f t="shared" si="4"/>
        <v>0.6</v>
      </c>
      <c r="J56" s="49">
        <f t="shared" si="0"/>
        <v>0.6</v>
      </c>
      <c r="K56" s="48">
        <v>30</v>
      </c>
      <c r="L56" s="54">
        <f t="shared" si="5"/>
        <v>10</v>
      </c>
      <c r="M56" s="48">
        <v>1</v>
      </c>
      <c r="N56" s="56">
        <f t="shared" si="6"/>
        <v>11.6</v>
      </c>
      <c r="O56" s="56">
        <f t="shared" si="7"/>
        <v>6.96</v>
      </c>
      <c r="P56" s="56">
        <f>'Lab Component'!K56</f>
        <v>19</v>
      </c>
      <c r="Q56" s="56">
        <f t="shared" si="1"/>
        <v>25.96</v>
      </c>
      <c r="R56" s="56">
        <f t="shared" si="8"/>
        <v>26</v>
      </c>
      <c r="S56" s="3"/>
    </row>
    <row r="57" spans="1:19">
      <c r="A57" s="4">
        <v>45</v>
      </c>
      <c r="B57" s="5" t="s">
        <v>114</v>
      </c>
      <c r="C57" s="13" t="s">
        <v>115</v>
      </c>
      <c r="D57" s="48">
        <v>1</v>
      </c>
      <c r="E57" s="49">
        <f t="shared" si="2"/>
        <v>0.6</v>
      </c>
      <c r="F57" s="48">
        <v>1</v>
      </c>
      <c r="G57" s="49">
        <f t="shared" si="3"/>
        <v>0.6</v>
      </c>
      <c r="H57" s="48">
        <v>1</v>
      </c>
      <c r="I57" s="49">
        <f t="shared" si="4"/>
        <v>0.6</v>
      </c>
      <c r="J57" s="49">
        <f t="shared" si="0"/>
        <v>0.6</v>
      </c>
      <c r="K57" s="48">
        <v>30</v>
      </c>
      <c r="L57" s="54">
        <f t="shared" si="5"/>
        <v>10</v>
      </c>
      <c r="M57" s="48">
        <v>1</v>
      </c>
      <c r="N57" s="56">
        <f t="shared" si="6"/>
        <v>11.6</v>
      </c>
      <c r="O57" s="56">
        <f t="shared" si="7"/>
        <v>6.96</v>
      </c>
      <c r="P57" s="56">
        <f>'Lab Component'!K57</f>
        <v>19</v>
      </c>
      <c r="Q57" s="56">
        <f t="shared" si="1"/>
        <v>25.96</v>
      </c>
      <c r="R57" s="56">
        <f t="shared" si="8"/>
        <v>26</v>
      </c>
      <c r="S57" s="3"/>
    </row>
    <row r="58" spans="1:19">
      <c r="A58" s="4">
        <v>46</v>
      </c>
      <c r="B58" s="5" t="s">
        <v>116</v>
      </c>
      <c r="C58" s="13" t="s">
        <v>117</v>
      </c>
      <c r="D58" s="48">
        <v>1</v>
      </c>
      <c r="E58" s="49">
        <f t="shared" si="2"/>
        <v>0.6</v>
      </c>
      <c r="F58" s="48">
        <v>1</v>
      </c>
      <c r="G58" s="49">
        <f t="shared" si="3"/>
        <v>0.6</v>
      </c>
      <c r="H58" s="48">
        <v>1</v>
      </c>
      <c r="I58" s="49">
        <f t="shared" si="4"/>
        <v>0.6</v>
      </c>
      <c r="J58" s="49">
        <f t="shared" si="0"/>
        <v>0.6</v>
      </c>
      <c r="K58" s="48">
        <v>30</v>
      </c>
      <c r="L58" s="54">
        <f t="shared" si="5"/>
        <v>10</v>
      </c>
      <c r="M58" s="48">
        <v>1</v>
      </c>
      <c r="N58" s="56">
        <f t="shared" si="6"/>
        <v>11.6</v>
      </c>
      <c r="O58" s="56">
        <f t="shared" si="7"/>
        <v>6.96</v>
      </c>
      <c r="P58" s="56">
        <f>'Lab Component'!K58</f>
        <v>18</v>
      </c>
      <c r="Q58" s="56">
        <f t="shared" si="1"/>
        <v>24.96</v>
      </c>
      <c r="R58" s="56">
        <f t="shared" si="8"/>
        <v>25</v>
      </c>
      <c r="S58" s="3"/>
    </row>
    <row r="59" spans="1:19">
      <c r="A59" s="4">
        <v>47</v>
      </c>
      <c r="B59" s="5" t="s">
        <v>118</v>
      </c>
      <c r="C59" s="13" t="s">
        <v>119</v>
      </c>
      <c r="D59" s="48">
        <v>1</v>
      </c>
      <c r="E59" s="49">
        <f t="shared" si="2"/>
        <v>0.6</v>
      </c>
      <c r="F59" s="48">
        <v>1</v>
      </c>
      <c r="G59" s="49">
        <f t="shared" si="3"/>
        <v>0.6</v>
      </c>
      <c r="H59" s="48">
        <v>1</v>
      </c>
      <c r="I59" s="49">
        <f t="shared" si="4"/>
        <v>0.6</v>
      </c>
      <c r="J59" s="49">
        <f t="shared" si="0"/>
        <v>0.6</v>
      </c>
      <c r="K59" s="48">
        <v>30</v>
      </c>
      <c r="L59" s="54">
        <f t="shared" si="5"/>
        <v>10</v>
      </c>
      <c r="M59" s="48">
        <v>1</v>
      </c>
      <c r="N59" s="56">
        <f t="shared" si="6"/>
        <v>11.6</v>
      </c>
      <c r="O59" s="56">
        <f t="shared" si="7"/>
        <v>6.96</v>
      </c>
      <c r="P59" s="56">
        <f>'Lab Component'!K59</f>
        <v>18</v>
      </c>
      <c r="Q59" s="56">
        <f t="shared" si="1"/>
        <v>24.96</v>
      </c>
      <c r="R59" s="56">
        <f t="shared" si="8"/>
        <v>25</v>
      </c>
      <c r="S59" s="3"/>
    </row>
    <row r="60" spans="1:19">
      <c r="A60" s="4">
        <v>48</v>
      </c>
      <c r="B60" s="5" t="s">
        <v>120</v>
      </c>
      <c r="C60" s="13" t="s">
        <v>121</v>
      </c>
      <c r="D60" s="48">
        <v>1</v>
      </c>
      <c r="E60" s="49">
        <f t="shared" si="2"/>
        <v>0.6</v>
      </c>
      <c r="F60" s="48">
        <v>1</v>
      </c>
      <c r="G60" s="49">
        <f t="shared" si="3"/>
        <v>0.6</v>
      </c>
      <c r="H60" s="48">
        <v>1</v>
      </c>
      <c r="I60" s="49">
        <f t="shared" si="4"/>
        <v>0.6</v>
      </c>
      <c r="J60" s="49">
        <f t="shared" si="0"/>
        <v>0.6</v>
      </c>
      <c r="K60" s="48">
        <v>30</v>
      </c>
      <c r="L60" s="54">
        <f t="shared" si="5"/>
        <v>10</v>
      </c>
      <c r="M60" s="48">
        <v>1</v>
      </c>
      <c r="N60" s="56">
        <f t="shared" si="6"/>
        <v>11.6</v>
      </c>
      <c r="O60" s="56">
        <f t="shared" si="7"/>
        <v>6.96</v>
      </c>
      <c r="P60" s="56">
        <f>'Lab Component'!K60</f>
        <v>18</v>
      </c>
      <c r="Q60" s="56">
        <f t="shared" si="1"/>
        <v>24.96</v>
      </c>
      <c r="R60" s="56">
        <f t="shared" si="8"/>
        <v>25</v>
      </c>
      <c r="S60" s="3"/>
    </row>
    <row r="61" spans="1:19">
      <c r="A61" s="4">
        <v>49</v>
      </c>
      <c r="B61" s="5" t="s">
        <v>122</v>
      </c>
      <c r="C61" s="13" t="s">
        <v>123</v>
      </c>
      <c r="D61" s="48">
        <v>1</v>
      </c>
      <c r="E61" s="49">
        <f t="shared" si="2"/>
        <v>0.6</v>
      </c>
      <c r="F61" s="48">
        <v>1</v>
      </c>
      <c r="G61" s="49">
        <f t="shared" si="3"/>
        <v>0.6</v>
      </c>
      <c r="H61" s="48">
        <v>1</v>
      </c>
      <c r="I61" s="49">
        <f t="shared" si="4"/>
        <v>0.6</v>
      </c>
      <c r="J61" s="49">
        <f t="shared" si="0"/>
        <v>0.6</v>
      </c>
      <c r="K61" s="48">
        <v>30</v>
      </c>
      <c r="L61" s="54">
        <f t="shared" si="5"/>
        <v>10</v>
      </c>
      <c r="M61" s="48">
        <v>1</v>
      </c>
      <c r="N61" s="56">
        <f t="shared" si="6"/>
        <v>11.6</v>
      </c>
      <c r="O61" s="56">
        <f t="shared" si="7"/>
        <v>6.96</v>
      </c>
      <c r="P61" s="56">
        <f>'Lab Component'!K61</f>
        <v>18</v>
      </c>
      <c r="Q61" s="56">
        <f t="shared" si="1"/>
        <v>24.96</v>
      </c>
      <c r="R61" s="56">
        <f t="shared" si="8"/>
        <v>25</v>
      </c>
      <c r="S61" s="3"/>
    </row>
    <row r="62" spans="1:19">
      <c r="A62" s="4">
        <v>50</v>
      </c>
      <c r="B62" s="5" t="s">
        <v>124</v>
      </c>
      <c r="C62" s="13" t="s">
        <v>125</v>
      </c>
      <c r="D62" s="48">
        <v>1</v>
      </c>
      <c r="E62" s="49">
        <f t="shared" si="2"/>
        <v>0.6</v>
      </c>
      <c r="F62" s="48">
        <v>1</v>
      </c>
      <c r="G62" s="49">
        <f t="shared" si="3"/>
        <v>0.6</v>
      </c>
      <c r="H62" s="48">
        <v>1</v>
      </c>
      <c r="I62" s="49">
        <f t="shared" si="4"/>
        <v>0.6</v>
      </c>
      <c r="J62" s="49">
        <f t="shared" si="0"/>
        <v>0.6</v>
      </c>
      <c r="K62" s="48">
        <v>30</v>
      </c>
      <c r="L62" s="54">
        <f t="shared" si="5"/>
        <v>10</v>
      </c>
      <c r="M62" s="48">
        <v>1</v>
      </c>
      <c r="N62" s="56">
        <f t="shared" si="6"/>
        <v>11.6</v>
      </c>
      <c r="O62" s="56">
        <f t="shared" si="7"/>
        <v>6.96</v>
      </c>
      <c r="P62" s="56">
        <f>'Lab Component'!K62</f>
        <v>19</v>
      </c>
      <c r="Q62" s="56">
        <f t="shared" si="1"/>
        <v>25.96</v>
      </c>
      <c r="R62" s="56">
        <f t="shared" si="8"/>
        <v>26</v>
      </c>
      <c r="S62" s="3"/>
    </row>
    <row r="63" spans="1:19">
      <c r="A63" s="4">
        <v>51</v>
      </c>
      <c r="B63" s="5" t="s">
        <v>126</v>
      </c>
      <c r="C63" s="13" t="s">
        <v>127</v>
      </c>
      <c r="D63" s="48">
        <v>1</v>
      </c>
      <c r="E63" s="49">
        <f t="shared" si="2"/>
        <v>0.6</v>
      </c>
      <c r="F63" s="48">
        <v>1</v>
      </c>
      <c r="G63" s="49">
        <f t="shared" si="3"/>
        <v>0.6</v>
      </c>
      <c r="H63" s="48">
        <v>1</v>
      </c>
      <c r="I63" s="49">
        <f t="shared" si="4"/>
        <v>0.6</v>
      </c>
      <c r="J63" s="49">
        <f t="shared" si="0"/>
        <v>0.6</v>
      </c>
      <c r="K63" s="48">
        <v>30</v>
      </c>
      <c r="L63" s="54">
        <f t="shared" si="5"/>
        <v>10</v>
      </c>
      <c r="M63" s="48">
        <v>1</v>
      </c>
      <c r="N63" s="56">
        <f t="shared" si="6"/>
        <v>11.6</v>
      </c>
      <c r="O63" s="56">
        <f t="shared" si="7"/>
        <v>6.96</v>
      </c>
      <c r="P63" s="56">
        <f>'Lab Component'!K63</f>
        <v>19</v>
      </c>
      <c r="Q63" s="56">
        <f t="shared" si="1"/>
        <v>25.96</v>
      </c>
      <c r="R63" s="56">
        <f t="shared" si="8"/>
        <v>26</v>
      </c>
      <c r="S63" s="3"/>
    </row>
    <row r="64" spans="1:19">
      <c r="A64" s="4">
        <v>52</v>
      </c>
      <c r="B64" s="5" t="s">
        <v>128</v>
      </c>
      <c r="C64" s="13" t="s">
        <v>129</v>
      </c>
      <c r="D64" s="48">
        <v>1</v>
      </c>
      <c r="E64" s="49">
        <f t="shared" si="2"/>
        <v>0.6</v>
      </c>
      <c r="F64" s="48">
        <v>1</v>
      </c>
      <c r="G64" s="49">
        <f t="shared" si="3"/>
        <v>0.6</v>
      </c>
      <c r="H64" s="48">
        <v>1</v>
      </c>
      <c r="I64" s="49">
        <f t="shared" si="4"/>
        <v>0.6</v>
      </c>
      <c r="J64" s="49">
        <f t="shared" si="0"/>
        <v>0.6</v>
      </c>
      <c r="K64" s="48">
        <v>1</v>
      </c>
      <c r="L64" s="54">
        <f t="shared" si="5"/>
        <v>0.333333333333333</v>
      </c>
      <c r="M64" s="48">
        <v>1</v>
      </c>
      <c r="N64" s="56">
        <f t="shared" si="6"/>
        <v>1.93333333333333</v>
      </c>
      <c r="O64" s="56">
        <f t="shared" si="7"/>
        <v>1.16</v>
      </c>
      <c r="P64" s="56">
        <f>'Lab Component'!K64</f>
        <v>0</v>
      </c>
      <c r="Q64" s="56">
        <f t="shared" si="1"/>
        <v>1.16</v>
      </c>
      <c r="R64" s="56">
        <f t="shared" si="8"/>
        <v>2</v>
      </c>
      <c r="S64" s="3"/>
    </row>
    <row r="65" spans="1:19">
      <c r="A65" s="4">
        <v>53</v>
      </c>
      <c r="B65" s="5" t="s">
        <v>130</v>
      </c>
      <c r="C65" s="13" t="s">
        <v>131</v>
      </c>
      <c r="D65" s="48">
        <v>1</v>
      </c>
      <c r="E65" s="49">
        <f t="shared" si="2"/>
        <v>0.6</v>
      </c>
      <c r="F65" s="48">
        <v>1</v>
      </c>
      <c r="G65" s="49">
        <f t="shared" si="3"/>
        <v>0.6</v>
      </c>
      <c r="H65" s="48">
        <v>1</v>
      </c>
      <c r="I65" s="49">
        <f t="shared" si="4"/>
        <v>0.6</v>
      </c>
      <c r="J65" s="49">
        <f t="shared" si="0"/>
        <v>0.6</v>
      </c>
      <c r="K65" s="48">
        <v>30</v>
      </c>
      <c r="L65" s="54">
        <f t="shared" si="5"/>
        <v>10</v>
      </c>
      <c r="M65" s="48">
        <v>1</v>
      </c>
      <c r="N65" s="56">
        <f t="shared" si="6"/>
        <v>11.6</v>
      </c>
      <c r="O65" s="56">
        <f t="shared" si="7"/>
        <v>6.96</v>
      </c>
      <c r="P65" s="56">
        <f>'Lab Component'!K65</f>
        <v>19</v>
      </c>
      <c r="Q65" s="56">
        <f t="shared" si="1"/>
        <v>25.96</v>
      </c>
      <c r="R65" s="56">
        <f t="shared" si="8"/>
        <v>26</v>
      </c>
      <c r="S65" s="3"/>
    </row>
    <row r="66" ht="30" spans="1:19">
      <c r="A66" s="4">
        <v>54</v>
      </c>
      <c r="B66" s="5" t="s">
        <v>132</v>
      </c>
      <c r="C66" s="13" t="s">
        <v>133</v>
      </c>
      <c r="D66" s="48">
        <v>1</v>
      </c>
      <c r="E66" s="49">
        <f t="shared" si="2"/>
        <v>0.6</v>
      </c>
      <c r="F66" s="48">
        <v>1</v>
      </c>
      <c r="G66" s="49">
        <f t="shared" si="3"/>
        <v>0.6</v>
      </c>
      <c r="H66" s="48">
        <v>1</v>
      </c>
      <c r="I66" s="49">
        <f t="shared" si="4"/>
        <v>0.6</v>
      </c>
      <c r="J66" s="49">
        <f t="shared" si="0"/>
        <v>0.6</v>
      </c>
      <c r="K66" s="48">
        <v>30</v>
      </c>
      <c r="L66" s="54">
        <f t="shared" si="5"/>
        <v>10</v>
      </c>
      <c r="M66" s="48">
        <v>1</v>
      </c>
      <c r="N66" s="56">
        <f t="shared" si="6"/>
        <v>11.6</v>
      </c>
      <c r="O66" s="56">
        <f t="shared" si="7"/>
        <v>6.96</v>
      </c>
      <c r="P66" s="56">
        <f>'Lab Component'!K66</f>
        <v>19</v>
      </c>
      <c r="Q66" s="56">
        <f t="shared" si="1"/>
        <v>25.96</v>
      </c>
      <c r="R66" s="56">
        <f t="shared" si="8"/>
        <v>26</v>
      </c>
      <c r="S66" s="3"/>
    </row>
    <row r="67" spans="1:19">
      <c r="A67" s="4">
        <v>55</v>
      </c>
      <c r="B67" s="5" t="s">
        <v>134</v>
      </c>
      <c r="C67" s="13" t="s">
        <v>135</v>
      </c>
      <c r="D67" s="48">
        <v>1</v>
      </c>
      <c r="E67" s="49">
        <f t="shared" si="2"/>
        <v>0.6</v>
      </c>
      <c r="F67" s="48">
        <v>1</v>
      </c>
      <c r="G67" s="49">
        <f t="shared" si="3"/>
        <v>0.6</v>
      </c>
      <c r="H67" s="48">
        <v>1</v>
      </c>
      <c r="I67" s="49">
        <f t="shared" si="4"/>
        <v>0.6</v>
      </c>
      <c r="J67" s="49">
        <f t="shared" si="0"/>
        <v>0.6</v>
      </c>
      <c r="K67" s="48">
        <v>30</v>
      </c>
      <c r="L67" s="54">
        <f t="shared" si="5"/>
        <v>10</v>
      </c>
      <c r="M67" s="48">
        <v>1</v>
      </c>
      <c r="N67" s="56">
        <f t="shared" si="6"/>
        <v>11.6</v>
      </c>
      <c r="O67" s="56">
        <f t="shared" si="7"/>
        <v>6.96</v>
      </c>
      <c r="P67" s="56">
        <f>'Lab Component'!K67</f>
        <v>20</v>
      </c>
      <c r="Q67" s="56">
        <f t="shared" si="1"/>
        <v>26.96</v>
      </c>
      <c r="R67" s="56">
        <f t="shared" si="8"/>
        <v>27</v>
      </c>
      <c r="S67" s="3"/>
    </row>
    <row r="68" spans="1:19">
      <c r="A68" s="4">
        <v>56</v>
      </c>
      <c r="B68" s="5" t="s">
        <v>136</v>
      </c>
      <c r="C68" s="13" t="s">
        <v>137</v>
      </c>
      <c r="D68" s="48">
        <v>1</v>
      </c>
      <c r="E68" s="49">
        <f t="shared" si="2"/>
        <v>0.6</v>
      </c>
      <c r="F68" s="48">
        <v>1</v>
      </c>
      <c r="G68" s="49">
        <f t="shared" si="3"/>
        <v>0.6</v>
      </c>
      <c r="H68" s="48">
        <v>1</v>
      </c>
      <c r="I68" s="49">
        <f t="shared" si="4"/>
        <v>0.6</v>
      </c>
      <c r="J68" s="49">
        <f t="shared" si="0"/>
        <v>0.6</v>
      </c>
      <c r="K68" s="48">
        <v>30</v>
      </c>
      <c r="L68" s="54">
        <f t="shared" si="5"/>
        <v>10</v>
      </c>
      <c r="M68" s="48">
        <v>1</v>
      </c>
      <c r="N68" s="56">
        <f t="shared" si="6"/>
        <v>11.6</v>
      </c>
      <c r="O68" s="56">
        <f t="shared" si="7"/>
        <v>6.96</v>
      </c>
      <c r="P68" s="56">
        <f>'Lab Component'!K68</f>
        <v>19</v>
      </c>
      <c r="Q68" s="56">
        <f t="shared" si="1"/>
        <v>25.96</v>
      </c>
      <c r="R68" s="56">
        <f t="shared" si="8"/>
        <v>26</v>
      </c>
      <c r="S68" s="3"/>
    </row>
    <row r="69" spans="1:19">
      <c r="A69" s="4">
        <v>57</v>
      </c>
      <c r="B69" s="5" t="s">
        <v>138</v>
      </c>
      <c r="C69" s="13" t="s">
        <v>139</v>
      </c>
      <c r="D69" s="48">
        <v>1</v>
      </c>
      <c r="E69" s="49">
        <f t="shared" si="2"/>
        <v>0.6</v>
      </c>
      <c r="F69" s="48">
        <v>1</v>
      </c>
      <c r="G69" s="49">
        <f t="shared" si="3"/>
        <v>0.6</v>
      </c>
      <c r="H69" s="48">
        <v>1</v>
      </c>
      <c r="I69" s="49">
        <f t="shared" si="4"/>
        <v>0.6</v>
      </c>
      <c r="J69" s="49">
        <f t="shared" si="0"/>
        <v>0.6</v>
      </c>
      <c r="K69" s="48">
        <v>30</v>
      </c>
      <c r="L69" s="54">
        <f t="shared" si="5"/>
        <v>10</v>
      </c>
      <c r="M69" s="48">
        <v>1</v>
      </c>
      <c r="N69" s="56">
        <f t="shared" si="6"/>
        <v>11.6</v>
      </c>
      <c r="O69" s="56">
        <f t="shared" si="7"/>
        <v>6.96</v>
      </c>
      <c r="P69" s="56">
        <f>'Lab Component'!K69</f>
        <v>19</v>
      </c>
      <c r="Q69" s="56">
        <f t="shared" si="1"/>
        <v>25.96</v>
      </c>
      <c r="R69" s="56">
        <f t="shared" si="8"/>
        <v>26</v>
      </c>
      <c r="S69" s="3"/>
    </row>
    <row r="70" spans="1:19">
      <c r="A70" s="4">
        <v>58</v>
      </c>
      <c r="B70" s="5" t="s">
        <v>140</v>
      </c>
      <c r="C70" s="13" t="s">
        <v>141</v>
      </c>
      <c r="D70" s="48">
        <v>1</v>
      </c>
      <c r="E70" s="49">
        <f t="shared" si="2"/>
        <v>0.6</v>
      </c>
      <c r="F70" s="48">
        <v>1</v>
      </c>
      <c r="G70" s="49">
        <f t="shared" si="3"/>
        <v>0.6</v>
      </c>
      <c r="H70" s="48">
        <v>1</v>
      </c>
      <c r="I70" s="49">
        <f t="shared" si="4"/>
        <v>0.6</v>
      </c>
      <c r="J70" s="49">
        <f t="shared" si="0"/>
        <v>0.6</v>
      </c>
      <c r="K70" s="48">
        <v>30</v>
      </c>
      <c r="L70" s="54">
        <f t="shared" si="5"/>
        <v>10</v>
      </c>
      <c r="M70" s="48">
        <v>1</v>
      </c>
      <c r="N70" s="56">
        <f t="shared" si="6"/>
        <v>11.6</v>
      </c>
      <c r="O70" s="56">
        <f t="shared" si="7"/>
        <v>6.96</v>
      </c>
      <c r="P70" s="56">
        <f>'Lab Component'!K70</f>
        <v>18</v>
      </c>
      <c r="Q70" s="56">
        <f t="shared" si="1"/>
        <v>24.96</v>
      </c>
      <c r="R70" s="56">
        <f t="shared" si="8"/>
        <v>25</v>
      </c>
      <c r="S70" s="3"/>
    </row>
    <row r="71" spans="1:19">
      <c r="A71" s="4">
        <v>59</v>
      </c>
      <c r="B71" s="5" t="s">
        <v>142</v>
      </c>
      <c r="C71" s="13" t="s">
        <v>143</v>
      </c>
      <c r="D71" s="48">
        <v>1</v>
      </c>
      <c r="E71" s="49">
        <f t="shared" si="2"/>
        <v>0.6</v>
      </c>
      <c r="F71" s="48">
        <v>1</v>
      </c>
      <c r="G71" s="49">
        <f t="shared" si="3"/>
        <v>0.6</v>
      </c>
      <c r="H71" s="48">
        <v>1</v>
      </c>
      <c r="I71" s="49">
        <f t="shared" si="4"/>
        <v>0.6</v>
      </c>
      <c r="J71" s="49">
        <f t="shared" si="0"/>
        <v>0.6</v>
      </c>
      <c r="K71" s="48">
        <v>30</v>
      </c>
      <c r="L71" s="54">
        <f t="shared" si="5"/>
        <v>10</v>
      </c>
      <c r="M71" s="48">
        <v>1</v>
      </c>
      <c r="N71" s="56">
        <f t="shared" si="6"/>
        <v>11.6</v>
      </c>
      <c r="O71" s="56">
        <f t="shared" si="7"/>
        <v>6.96</v>
      </c>
      <c r="P71" s="56">
        <f>'Lab Component'!K71</f>
        <v>19</v>
      </c>
      <c r="Q71" s="56">
        <f t="shared" si="1"/>
        <v>25.96</v>
      </c>
      <c r="R71" s="56">
        <f t="shared" si="8"/>
        <v>26</v>
      </c>
      <c r="S71" s="3"/>
    </row>
    <row r="72" spans="1:19">
      <c r="A72" s="4">
        <v>60</v>
      </c>
      <c r="B72" s="5" t="s">
        <v>144</v>
      </c>
      <c r="C72" s="13" t="s">
        <v>145</v>
      </c>
      <c r="D72" s="48">
        <v>1</v>
      </c>
      <c r="E72" s="49">
        <f t="shared" si="2"/>
        <v>0.6</v>
      </c>
      <c r="F72" s="48">
        <v>1</v>
      </c>
      <c r="G72" s="49">
        <f t="shared" si="3"/>
        <v>0.6</v>
      </c>
      <c r="H72" s="48">
        <v>1</v>
      </c>
      <c r="I72" s="49">
        <f t="shared" si="4"/>
        <v>0.6</v>
      </c>
      <c r="J72" s="49">
        <f t="shared" si="0"/>
        <v>0.6</v>
      </c>
      <c r="K72" s="48">
        <v>30</v>
      </c>
      <c r="L72" s="54">
        <f t="shared" si="5"/>
        <v>10</v>
      </c>
      <c r="M72" s="48">
        <v>1</v>
      </c>
      <c r="N72" s="56">
        <f t="shared" si="6"/>
        <v>11.6</v>
      </c>
      <c r="O72" s="56">
        <f t="shared" si="7"/>
        <v>6.96</v>
      </c>
      <c r="P72" s="56">
        <f>'Lab Component'!K72</f>
        <v>20</v>
      </c>
      <c r="Q72" s="56">
        <f t="shared" si="1"/>
        <v>26.96</v>
      </c>
      <c r="R72" s="56">
        <f t="shared" si="8"/>
        <v>27</v>
      </c>
      <c r="S72" s="3"/>
    </row>
    <row r="73" spans="1:19">
      <c r="A73" s="4">
        <v>61</v>
      </c>
      <c r="B73" s="5" t="s">
        <v>146</v>
      </c>
      <c r="C73" s="13" t="s">
        <v>147</v>
      </c>
      <c r="D73" s="48">
        <v>1</v>
      </c>
      <c r="E73" s="49">
        <f t="shared" si="2"/>
        <v>0.6</v>
      </c>
      <c r="F73" s="48">
        <v>1</v>
      </c>
      <c r="G73" s="49">
        <f t="shared" si="3"/>
        <v>0.6</v>
      </c>
      <c r="H73" s="48">
        <v>1</v>
      </c>
      <c r="I73" s="49">
        <f t="shared" si="4"/>
        <v>0.6</v>
      </c>
      <c r="J73" s="49">
        <f t="shared" si="0"/>
        <v>0.6</v>
      </c>
      <c r="K73" s="48">
        <v>30</v>
      </c>
      <c r="L73" s="54">
        <f t="shared" si="5"/>
        <v>10</v>
      </c>
      <c r="M73" s="48">
        <v>1</v>
      </c>
      <c r="N73" s="56">
        <f t="shared" si="6"/>
        <v>11.6</v>
      </c>
      <c r="O73" s="56">
        <f t="shared" si="7"/>
        <v>6.96</v>
      </c>
      <c r="P73" s="56">
        <f>'Lab Component'!K73</f>
        <v>20</v>
      </c>
      <c r="Q73" s="56">
        <f t="shared" si="1"/>
        <v>26.96</v>
      </c>
      <c r="R73" s="56">
        <f t="shared" si="8"/>
        <v>27</v>
      </c>
      <c r="S73" s="3"/>
    </row>
    <row r="74" spans="1:19">
      <c r="A74" s="4">
        <v>62</v>
      </c>
      <c r="B74" s="5" t="s">
        <v>148</v>
      </c>
      <c r="C74" s="13" t="s">
        <v>149</v>
      </c>
      <c r="D74" s="48">
        <v>1</v>
      </c>
      <c r="E74" s="49">
        <f t="shared" si="2"/>
        <v>0.6</v>
      </c>
      <c r="F74" s="48">
        <v>1</v>
      </c>
      <c r="G74" s="49">
        <f t="shared" si="3"/>
        <v>0.6</v>
      </c>
      <c r="H74" s="48">
        <v>1</v>
      </c>
      <c r="I74" s="49">
        <f t="shared" si="4"/>
        <v>0.6</v>
      </c>
      <c r="J74" s="49">
        <f t="shared" si="0"/>
        <v>0.6</v>
      </c>
      <c r="K74" s="48">
        <v>30</v>
      </c>
      <c r="L74" s="54">
        <f t="shared" si="5"/>
        <v>10</v>
      </c>
      <c r="M74" s="48">
        <v>1</v>
      </c>
      <c r="N74" s="56">
        <f t="shared" si="6"/>
        <v>11.6</v>
      </c>
      <c r="O74" s="56">
        <f t="shared" si="7"/>
        <v>6.96</v>
      </c>
      <c r="P74" s="56">
        <f>'Lab Component'!K74</f>
        <v>19</v>
      </c>
      <c r="Q74" s="56">
        <f t="shared" si="1"/>
        <v>25.96</v>
      </c>
      <c r="R74" s="56">
        <f t="shared" si="8"/>
        <v>26</v>
      </c>
      <c r="S74" s="3"/>
    </row>
    <row r="75" spans="1:19">
      <c r="A75" s="4">
        <v>63</v>
      </c>
      <c r="B75" s="5" t="s">
        <v>150</v>
      </c>
      <c r="C75" s="13" t="s">
        <v>151</v>
      </c>
      <c r="D75" s="48">
        <v>1</v>
      </c>
      <c r="E75" s="49">
        <f t="shared" si="2"/>
        <v>0.6</v>
      </c>
      <c r="F75" s="48">
        <v>1</v>
      </c>
      <c r="G75" s="49">
        <f t="shared" si="3"/>
        <v>0.6</v>
      </c>
      <c r="H75" s="48">
        <v>1</v>
      </c>
      <c r="I75" s="49">
        <f t="shared" si="4"/>
        <v>0.6</v>
      </c>
      <c r="J75" s="49">
        <f t="shared" si="0"/>
        <v>0.6</v>
      </c>
      <c r="K75" s="48">
        <v>30</v>
      </c>
      <c r="L75" s="54">
        <f t="shared" si="5"/>
        <v>10</v>
      </c>
      <c r="M75" s="48">
        <v>1</v>
      </c>
      <c r="N75" s="56">
        <f t="shared" si="6"/>
        <v>11.6</v>
      </c>
      <c r="O75" s="56">
        <f t="shared" si="7"/>
        <v>6.96</v>
      </c>
      <c r="P75" s="56">
        <f>'Lab Component'!K75</f>
        <v>20</v>
      </c>
      <c r="Q75" s="56">
        <f t="shared" si="1"/>
        <v>26.96</v>
      </c>
      <c r="R75" s="56">
        <f t="shared" si="8"/>
        <v>27</v>
      </c>
      <c r="S75" s="3"/>
    </row>
    <row r="76" spans="1:19">
      <c r="A76" s="4">
        <v>64</v>
      </c>
      <c r="B76" s="5" t="s">
        <v>152</v>
      </c>
      <c r="C76" s="13" t="s">
        <v>153</v>
      </c>
      <c r="D76" s="48">
        <v>1</v>
      </c>
      <c r="E76" s="49">
        <f t="shared" si="2"/>
        <v>0.6</v>
      </c>
      <c r="F76" s="48">
        <v>1</v>
      </c>
      <c r="G76" s="49">
        <f t="shared" si="3"/>
        <v>0.6</v>
      </c>
      <c r="H76" s="48">
        <v>1</v>
      </c>
      <c r="I76" s="49">
        <f t="shared" si="4"/>
        <v>0.6</v>
      </c>
      <c r="J76" s="49">
        <f t="shared" si="0"/>
        <v>0.6</v>
      </c>
      <c r="K76" s="48">
        <v>30</v>
      </c>
      <c r="L76" s="54">
        <f t="shared" si="5"/>
        <v>10</v>
      </c>
      <c r="M76" s="48">
        <v>1</v>
      </c>
      <c r="N76" s="56">
        <f t="shared" si="6"/>
        <v>11.6</v>
      </c>
      <c r="O76" s="56">
        <f t="shared" si="7"/>
        <v>6.96</v>
      </c>
      <c r="P76" s="56">
        <f>'Lab Component'!K76</f>
        <v>19</v>
      </c>
      <c r="Q76" s="56">
        <f t="shared" si="1"/>
        <v>25.96</v>
      </c>
      <c r="R76" s="56">
        <f t="shared" si="8"/>
        <v>26</v>
      </c>
      <c r="S76" s="3"/>
    </row>
    <row r="77" spans="1:19">
      <c r="A77" s="4">
        <v>65</v>
      </c>
      <c r="B77" s="5" t="s">
        <v>154</v>
      </c>
      <c r="C77" s="13" t="s">
        <v>155</v>
      </c>
      <c r="D77" s="48">
        <v>43</v>
      </c>
      <c r="E77" s="49">
        <f t="shared" si="2"/>
        <v>25.8</v>
      </c>
      <c r="F77" s="48">
        <v>44</v>
      </c>
      <c r="G77" s="49">
        <f t="shared" si="3"/>
        <v>26.4</v>
      </c>
      <c r="H77" s="48">
        <v>46</v>
      </c>
      <c r="I77" s="49">
        <f t="shared" si="4"/>
        <v>27.6</v>
      </c>
      <c r="J77" s="49">
        <f t="shared" ref="J77:J140" si="9">((E77+G77+I77)/3)</f>
        <v>26.6</v>
      </c>
      <c r="K77" s="48">
        <v>30</v>
      </c>
      <c r="L77" s="54">
        <f t="shared" si="5"/>
        <v>10</v>
      </c>
      <c r="M77" s="48">
        <v>10</v>
      </c>
      <c r="N77" s="56">
        <f t="shared" si="6"/>
        <v>46.6</v>
      </c>
      <c r="O77" s="56">
        <f t="shared" si="7"/>
        <v>27.96</v>
      </c>
      <c r="P77" s="56">
        <f>'Lab Component'!K77</f>
        <v>20</v>
      </c>
      <c r="Q77" s="56">
        <f t="shared" ref="Q77:Q140" si="10">(O77+P77)</f>
        <v>47.96</v>
      </c>
      <c r="R77" s="56">
        <f t="shared" si="8"/>
        <v>48</v>
      </c>
      <c r="S77" s="3">
        <v>39</v>
      </c>
    </row>
    <row r="78" spans="1:19">
      <c r="A78" s="4">
        <v>66</v>
      </c>
      <c r="B78" s="5" t="s">
        <v>156</v>
      </c>
      <c r="C78" s="13" t="s">
        <v>157</v>
      </c>
      <c r="D78" s="48">
        <v>48</v>
      </c>
      <c r="E78" s="49">
        <f t="shared" ref="E78:E141" si="11">((D78*30)/50)</f>
        <v>28.8</v>
      </c>
      <c r="F78" s="48">
        <v>50</v>
      </c>
      <c r="G78" s="49">
        <f t="shared" ref="G78:G141" si="12">((F78*30)/50)</f>
        <v>30</v>
      </c>
      <c r="H78" s="48">
        <v>49</v>
      </c>
      <c r="I78" s="49">
        <f t="shared" ref="I78:I141" si="13">((H78*30)/50)</f>
        <v>29.4</v>
      </c>
      <c r="J78" s="49">
        <f t="shared" si="9"/>
        <v>29.4</v>
      </c>
      <c r="K78" s="48">
        <v>30</v>
      </c>
      <c r="L78" s="54">
        <f t="shared" ref="L78:L141" si="14">((K78*10)/30)</f>
        <v>10</v>
      </c>
      <c r="M78" s="48">
        <v>10</v>
      </c>
      <c r="N78" s="56">
        <f t="shared" ref="N78:N141" si="15">SUM(J78,L78,M78)</f>
        <v>49.4</v>
      </c>
      <c r="O78" s="56">
        <f t="shared" ref="O78:O141" si="16">(N78/50)*30</f>
        <v>29.64</v>
      </c>
      <c r="P78" s="56">
        <f>'Lab Component'!K78</f>
        <v>20</v>
      </c>
      <c r="Q78" s="56">
        <f t="shared" si="10"/>
        <v>49.64</v>
      </c>
      <c r="R78" s="56">
        <f t="shared" ref="R78:R141" si="17">ROUNDUP(Q78,0)</f>
        <v>50</v>
      </c>
      <c r="S78" s="3">
        <v>39</v>
      </c>
    </row>
    <row r="79" spans="1:19">
      <c r="A79" s="4">
        <v>67</v>
      </c>
      <c r="B79" s="5" t="s">
        <v>158</v>
      </c>
      <c r="C79" s="13" t="s">
        <v>159</v>
      </c>
      <c r="D79" s="48">
        <v>49</v>
      </c>
      <c r="E79" s="49">
        <f t="shared" si="11"/>
        <v>29.4</v>
      </c>
      <c r="F79" s="48">
        <v>50</v>
      </c>
      <c r="G79" s="49">
        <f t="shared" si="12"/>
        <v>30</v>
      </c>
      <c r="H79" s="48">
        <v>48</v>
      </c>
      <c r="I79" s="49">
        <f t="shared" si="13"/>
        <v>28.8</v>
      </c>
      <c r="J79" s="49">
        <f t="shared" si="9"/>
        <v>29.4</v>
      </c>
      <c r="K79" s="48">
        <v>30</v>
      </c>
      <c r="L79" s="54">
        <f t="shared" si="14"/>
        <v>10</v>
      </c>
      <c r="M79" s="48">
        <v>8.5</v>
      </c>
      <c r="N79" s="56">
        <f t="shared" si="15"/>
        <v>47.9</v>
      </c>
      <c r="O79" s="56">
        <f t="shared" si="16"/>
        <v>28.74</v>
      </c>
      <c r="P79" s="56">
        <f>'Lab Component'!K79</f>
        <v>20</v>
      </c>
      <c r="Q79" s="56">
        <f t="shared" si="10"/>
        <v>48.74</v>
      </c>
      <c r="R79" s="56">
        <f t="shared" si="17"/>
        <v>49</v>
      </c>
      <c r="S79" s="3">
        <v>39</v>
      </c>
    </row>
    <row r="80" spans="1:19">
      <c r="A80" s="4">
        <v>68</v>
      </c>
      <c r="B80" s="5" t="s">
        <v>160</v>
      </c>
      <c r="C80" s="13" t="s">
        <v>161</v>
      </c>
      <c r="D80" s="48">
        <v>50</v>
      </c>
      <c r="E80" s="49">
        <f t="shared" si="11"/>
        <v>30</v>
      </c>
      <c r="F80" s="48">
        <v>47</v>
      </c>
      <c r="G80" s="49">
        <f t="shared" si="12"/>
        <v>28.2</v>
      </c>
      <c r="H80" s="48">
        <v>47</v>
      </c>
      <c r="I80" s="49">
        <f t="shared" si="13"/>
        <v>28.2</v>
      </c>
      <c r="J80" s="49">
        <f t="shared" si="9"/>
        <v>28.8</v>
      </c>
      <c r="K80" s="48">
        <v>30</v>
      </c>
      <c r="L80" s="54">
        <f t="shared" si="14"/>
        <v>10</v>
      </c>
      <c r="M80" s="48">
        <v>10</v>
      </c>
      <c r="N80" s="56">
        <f t="shared" si="15"/>
        <v>48.8</v>
      </c>
      <c r="O80" s="56">
        <f t="shared" si="16"/>
        <v>29.28</v>
      </c>
      <c r="P80" s="56">
        <f>'Lab Component'!K80</f>
        <v>19</v>
      </c>
      <c r="Q80" s="56">
        <f t="shared" si="10"/>
        <v>48.28</v>
      </c>
      <c r="R80" s="56">
        <f t="shared" si="17"/>
        <v>49</v>
      </c>
      <c r="S80" s="3">
        <v>37</v>
      </c>
    </row>
    <row r="81" spans="1:19">
      <c r="A81" s="4">
        <v>69</v>
      </c>
      <c r="B81" s="5" t="s">
        <v>162</v>
      </c>
      <c r="C81" s="13" t="s">
        <v>163</v>
      </c>
      <c r="D81" s="48">
        <v>42</v>
      </c>
      <c r="E81" s="49">
        <f t="shared" si="11"/>
        <v>25.2</v>
      </c>
      <c r="F81" s="48">
        <v>50</v>
      </c>
      <c r="G81" s="49">
        <f t="shared" si="12"/>
        <v>30</v>
      </c>
      <c r="H81" s="48">
        <v>44</v>
      </c>
      <c r="I81" s="49">
        <f t="shared" si="13"/>
        <v>26.4</v>
      </c>
      <c r="J81" s="49">
        <f t="shared" si="9"/>
        <v>27.2</v>
      </c>
      <c r="K81" s="48">
        <v>30</v>
      </c>
      <c r="L81" s="54">
        <f t="shared" si="14"/>
        <v>10</v>
      </c>
      <c r="M81" s="48">
        <v>9.5</v>
      </c>
      <c r="N81" s="56">
        <f t="shared" si="15"/>
        <v>46.7</v>
      </c>
      <c r="O81" s="56">
        <f t="shared" si="16"/>
        <v>28.02</v>
      </c>
      <c r="P81" s="56">
        <f>'Lab Component'!K81</f>
        <v>19</v>
      </c>
      <c r="Q81" s="56">
        <f t="shared" si="10"/>
        <v>47.02</v>
      </c>
      <c r="R81" s="56">
        <f t="shared" si="17"/>
        <v>48</v>
      </c>
      <c r="S81" s="3">
        <v>37</v>
      </c>
    </row>
    <row r="82" spans="1:19">
      <c r="A82" s="4">
        <v>70</v>
      </c>
      <c r="B82" s="5" t="s">
        <v>164</v>
      </c>
      <c r="C82" s="13" t="s">
        <v>165</v>
      </c>
      <c r="D82" s="48">
        <v>46</v>
      </c>
      <c r="E82" s="49">
        <f t="shared" si="11"/>
        <v>27.6</v>
      </c>
      <c r="F82" s="48">
        <v>50</v>
      </c>
      <c r="G82" s="49">
        <f t="shared" si="12"/>
        <v>30</v>
      </c>
      <c r="H82" s="48">
        <v>50</v>
      </c>
      <c r="I82" s="49">
        <f t="shared" si="13"/>
        <v>30</v>
      </c>
      <c r="J82" s="49">
        <f t="shared" si="9"/>
        <v>29.2</v>
      </c>
      <c r="K82" s="48">
        <v>30</v>
      </c>
      <c r="L82" s="54">
        <f t="shared" si="14"/>
        <v>10</v>
      </c>
      <c r="M82" s="48">
        <v>10</v>
      </c>
      <c r="N82" s="56">
        <f t="shared" si="15"/>
        <v>49.2</v>
      </c>
      <c r="O82" s="56">
        <f t="shared" si="16"/>
        <v>29.52</v>
      </c>
      <c r="P82" s="56">
        <f>'Lab Component'!K82</f>
        <v>12</v>
      </c>
      <c r="Q82" s="56">
        <f t="shared" si="10"/>
        <v>41.52</v>
      </c>
      <c r="R82" s="56">
        <f t="shared" si="17"/>
        <v>42</v>
      </c>
      <c r="S82" s="3">
        <v>37</v>
      </c>
    </row>
    <row r="83" spans="1:19">
      <c r="A83" s="4">
        <v>71</v>
      </c>
      <c r="B83" s="5" t="s">
        <v>166</v>
      </c>
      <c r="C83" s="13" t="s">
        <v>167</v>
      </c>
      <c r="D83" s="48">
        <v>40</v>
      </c>
      <c r="E83" s="49">
        <f t="shared" si="11"/>
        <v>24</v>
      </c>
      <c r="F83" s="48">
        <v>27</v>
      </c>
      <c r="G83" s="49">
        <f t="shared" si="12"/>
        <v>16.2</v>
      </c>
      <c r="H83" s="48">
        <v>43</v>
      </c>
      <c r="I83" s="49">
        <f t="shared" si="13"/>
        <v>25.8</v>
      </c>
      <c r="J83" s="49">
        <f t="shared" si="9"/>
        <v>22</v>
      </c>
      <c r="K83" s="48">
        <v>30</v>
      </c>
      <c r="L83" s="54">
        <f t="shared" si="14"/>
        <v>10</v>
      </c>
      <c r="M83" s="48">
        <v>10</v>
      </c>
      <c r="N83" s="56">
        <f t="shared" si="15"/>
        <v>42</v>
      </c>
      <c r="O83" s="56">
        <f t="shared" si="16"/>
        <v>25.2</v>
      </c>
      <c r="P83" s="56">
        <f>'Lab Component'!K83</f>
        <v>19</v>
      </c>
      <c r="Q83" s="56">
        <f t="shared" si="10"/>
        <v>44.2</v>
      </c>
      <c r="R83" s="56">
        <f t="shared" si="17"/>
        <v>45</v>
      </c>
      <c r="S83" s="3">
        <v>38</v>
      </c>
    </row>
    <row r="84" spans="1:19">
      <c r="A84" s="4">
        <v>72</v>
      </c>
      <c r="B84" s="5" t="s">
        <v>168</v>
      </c>
      <c r="C84" s="13" t="s">
        <v>169</v>
      </c>
      <c r="D84" s="34">
        <v>25</v>
      </c>
      <c r="E84" s="49">
        <f t="shared" si="11"/>
        <v>15</v>
      </c>
      <c r="F84" s="34">
        <v>21</v>
      </c>
      <c r="G84" s="49">
        <f t="shared" si="12"/>
        <v>12.6</v>
      </c>
      <c r="H84" s="34">
        <v>45</v>
      </c>
      <c r="I84" s="49">
        <f t="shared" si="13"/>
        <v>27</v>
      </c>
      <c r="J84" s="49">
        <f t="shared" si="9"/>
        <v>18.2</v>
      </c>
      <c r="K84" s="34">
        <v>30</v>
      </c>
      <c r="L84" s="54">
        <f t="shared" si="14"/>
        <v>10</v>
      </c>
      <c r="M84" s="34">
        <v>9</v>
      </c>
      <c r="N84" s="34">
        <f t="shared" si="15"/>
        <v>37.2</v>
      </c>
      <c r="O84" s="56">
        <f t="shared" si="16"/>
        <v>22.32</v>
      </c>
      <c r="P84" s="56">
        <f>'Lab Component'!K84</f>
        <v>17</v>
      </c>
      <c r="Q84" s="56">
        <f t="shared" si="10"/>
        <v>39.32</v>
      </c>
      <c r="R84" s="56">
        <f t="shared" si="17"/>
        <v>40</v>
      </c>
      <c r="S84" s="3">
        <v>36</v>
      </c>
    </row>
    <row r="85" spans="1:19">
      <c r="A85" s="4">
        <v>73</v>
      </c>
      <c r="B85" s="5" t="s">
        <v>170</v>
      </c>
      <c r="C85" s="13" t="s">
        <v>171</v>
      </c>
      <c r="D85" s="34">
        <v>47</v>
      </c>
      <c r="E85" s="49">
        <f t="shared" si="11"/>
        <v>28.2</v>
      </c>
      <c r="F85" s="34">
        <v>50</v>
      </c>
      <c r="G85" s="49">
        <f t="shared" si="12"/>
        <v>30</v>
      </c>
      <c r="H85" s="34">
        <v>50</v>
      </c>
      <c r="I85" s="49">
        <f t="shared" si="13"/>
        <v>30</v>
      </c>
      <c r="J85" s="49">
        <f t="shared" si="9"/>
        <v>29.4</v>
      </c>
      <c r="K85" s="34">
        <v>30</v>
      </c>
      <c r="L85" s="54">
        <f t="shared" si="14"/>
        <v>10</v>
      </c>
      <c r="M85" s="34">
        <v>10</v>
      </c>
      <c r="N85" s="34">
        <f t="shared" si="15"/>
        <v>49.4</v>
      </c>
      <c r="O85" s="56">
        <f t="shared" si="16"/>
        <v>29.64</v>
      </c>
      <c r="P85" s="56">
        <f>'Lab Component'!K85</f>
        <v>12</v>
      </c>
      <c r="Q85" s="56">
        <f t="shared" si="10"/>
        <v>41.64</v>
      </c>
      <c r="R85" s="56">
        <f t="shared" si="17"/>
        <v>42</v>
      </c>
      <c r="S85" s="3">
        <v>40</v>
      </c>
    </row>
    <row r="86" spans="1:19">
      <c r="A86" s="4">
        <v>74</v>
      </c>
      <c r="B86" s="5" t="s">
        <v>172</v>
      </c>
      <c r="C86" s="13" t="s">
        <v>173</v>
      </c>
      <c r="D86" s="34">
        <v>26</v>
      </c>
      <c r="E86" s="49">
        <f t="shared" si="11"/>
        <v>15.6</v>
      </c>
      <c r="F86" s="34">
        <v>21</v>
      </c>
      <c r="G86" s="49">
        <f t="shared" si="12"/>
        <v>12.6</v>
      </c>
      <c r="H86" s="34">
        <v>45</v>
      </c>
      <c r="I86" s="49">
        <f t="shared" si="13"/>
        <v>27</v>
      </c>
      <c r="J86" s="49">
        <f t="shared" si="9"/>
        <v>18.4</v>
      </c>
      <c r="K86" s="34">
        <v>30</v>
      </c>
      <c r="L86" s="54">
        <f t="shared" si="14"/>
        <v>10</v>
      </c>
      <c r="M86" s="34">
        <v>9.5</v>
      </c>
      <c r="N86" s="56">
        <f t="shared" si="15"/>
        <v>37.9</v>
      </c>
      <c r="O86" s="56">
        <f t="shared" si="16"/>
        <v>22.74</v>
      </c>
      <c r="P86" s="56">
        <f>'Lab Component'!K86</f>
        <v>18</v>
      </c>
      <c r="Q86" s="56">
        <f t="shared" si="10"/>
        <v>40.74</v>
      </c>
      <c r="R86" s="56">
        <f t="shared" si="17"/>
        <v>41</v>
      </c>
      <c r="S86" s="3">
        <v>36</v>
      </c>
    </row>
    <row r="87" spans="1:19">
      <c r="A87" s="4">
        <v>75</v>
      </c>
      <c r="B87" s="5" t="s">
        <v>174</v>
      </c>
      <c r="C87" s="13" t="s">
        <v>175</v>
      </c>
      <c r="D87" s="34">
        <v>34</v>
      </c>
      <c r="E87" s="49">
        <f t="shared" si="11"/>
        <v>20.4</v>
      </c>
      <c r="F87" s="34">
        <v>12</v>
      </c>
      <c r="G87" s="49">
        <f t="shared" si="12"/>
        <v>7.2</v>
      </c>
      <c r="H87" s="34">
        <v>49</v>
      </c>
      <c r="I87" s="49">
        <f t="shared" si="13"/>
        <v>29.4</v>
      </c>
      <c r="J87" s="49">
        <f t="shared" si="9"/>
        <v>19</v>
      </c>
      <c r="K87" s="34">
        <v>30</v>
      </c>
      <c r="L87" s="54">
        <f t="shared" si="14"/>
        <v>10</v>
      </c>
      <c r="M87" s="34">
        <v>10</v>
      </c>
      <c r="N87" s="56">
        <f t="shared" si="15"/>
        <v>39</v>
      </c>
      <c r="O87" s="56">
        <f t="shared" si="16"/>
        <v>23.4</v>
      </c>
      <c r="P87" s="56">
        <f>'Lab Component'!K87</f>
        <v>18</v>
      </c>
      <c r="Q87" s="56">
        <f t="shared" si="10"/>
        <v>41.4</v>
      </c>
      <c r="R87" s="56">
        <f t="shared" si="17"/>
        <v>42</v>
      </c>
      <c r="S87" s="3">
        <v>36</v>
      </c>
    </row>
    <row r="88" spans="1:19">
      <c r="A88" s="4">
        <v>76</v>
      </c>
      <c r="B88" s="5" t="s">
        <v>176</v>
      </c>
      <c r="C88" s="13" t="s">
        <v>177</v>
      </c>
      <c r="D88" s="34">
        <v>48</v>
      </c>
      <c r="E88" s="49">
        <f t="shared" si="11"/>
        <v>28.8</v>
      </c>
      <c r="F88" s="34">
        <v>50</v>
      </c>
      <c r="G88" s="49">
        <f t="shared" si="12"/>
        <v>30</v>
      </c>
      <c r="H88" s="34">
        <v>50</v>
      </c>
      <c r="I88" s="49">
        <f t="shared" si="13"/>
        <v>30</v>
      </c>
      <c r="J88" s="49">
        <f t="shared" si="9"/>
        <v>29.6</v>
      </c>
      <c r="K88" s="34">
        <v>30</v>
      </c>
      <c r="L88" s="54">
        <f t="shared" si="14"/>
        <v>10</v>
      </c>
      <c r="M88" s="34">
        <v>8.5</v>
      </c>
      <c r="N88" s="56">
        <f t="shared" si="15"/>
        <v>48.1</v>
      </c>
      <c r="O88" s="56">
        <f t="shared" si="16"/>
        <v>28.86</v>
      </c>
      <c r="P88" s="56">
        <f>'Lab Component'!K88</f>
        <v>11</v>
      </c>
      <c r="Q88" s="56">
        <f t="shared" si="10"/>
        <v>39.86</v>
      </c>
      <c r="R88" s="56">
        <f t="shared" si="17"/>
        <v>40</v>
      </c>
      <c r="S88" s="3">
        <v>37</v>
      </c>
    </row>
    <row r="89" spans="1:19">
      <c r="A89" s="4">
        <v>77</v>
      </c>
      <c r="B89" s="5" t="s">
        <v>178</v>
      </c>
      <c r="C89" s="13" t="s">
        <v>179</v>
      </c>
      <c r="D89" s="34">
        <v>48</v>
      </c>
      <c r="E89" s="49">
        <f t="shared" si="11"/>
        <v>28.8</v>
      </c>
      <c r="F89" s="34">
        <v>50</v>
      </c>
      <c r="G89" s="49">
        <f t="shared" si="12"/>
        <v>30</v>
      </c>
      <c r="H89" s="34">
        <v>50</v>
      </c>
      <c r="I89" s="49">
        <f t="shared" si="13"/>
        <v>30</v>
      </c>
      <c r="J89" s="49">
        <f t="shared" si="9"/>
        <v>29.6</v>
      </c>
      <c r="K89" s="34">
        <v>30</v>
      </c>
      <c r="L89" s="54">
        <f t="shared" si="14"/>
        <v>10</v>
      </c>
      <c r="M89" s="34">
        <v>9.5</v>
      </c>
      <c r="N89" s="56">
        <f t="shared" si="15"/>
        <v>49.1</v>
      </c>
      <c r="O89" s="56">
        <f t="shared" si="16"/>
        <v>29.46</v>
      </c>
      <c r="P89" s="56">
        <f>'Lab Component'!K89</f>
        <v>12</v>
      </c>
      <c r="Q89" s="56">
        <f t="shared" si="10"/>
        <v>41.46</v>
      </c>
      <c r="R89" s="56">
        <f t="shared" si="17"/>
        <v>42</v>
      </c>
      <c r="S89" s="3">
        <v>39</v>
      </c>
    </row>
    <row r="90" spans="1:19">
      <c r="A90" s="4">
        <v>78</v>
      </c>
      <c r="B90" s="5" t="s">
        <v>180</v>
      </c>
      <c r="C90" s="13" t="s">
        <v>181</v>
      </c>
      <c r="D90" s="34">
        <v>45</v>
      </c>
      <c r="E90" s="49">
        <f t="shared" si="11"/>
        <v>27</v>
      </c>
      <c r="F90" s="34">
        <v>50</v>
      </c>
      <c r="G90" s="49">
        <f t="shared" si="12"/>
        <v>30</v>
      </c>
      <c r="H90" s="34">
        <v>48</v>
      </c>
      <c r="I90" s="49">
        <f t="shared" si="13"/>
        <v>28.8</v>
      </c>
      <c r="J90" s="49">
        <f t="shared" si="9"/>
        <v>28.6</v>
      </c>
      <c r="K90" s="34">
        <v>30</v>
      </c>
      <c r="L90" s="54">
        <f t="shared" si="14"/>
        <v>10</v>
      </c>
      <c r="M90" s="34">
        <v>9</v>
      </c>
      <c r="N90" s="56">
        <f t="shared" si="15"/>
        <v>47.6</v>
      </c>
      <c r="O90" s="56">
        <f t="shared" si="16"/>
        <v>28.56</v>
      </c>
      <c r="P90" s="56">
        <f>'Lab Component'!K90</f>
        <v>19</v>
      </c>
      <c r="Q90" s="56">
        <f t="shared" si="10"/>
        <v>47.56</v>
      </c>
      <c r="R90" s="56">
        <f t="shared" si="17"/>
        <v>48</v>
      </c>
      <c r="S90" s="3">
        <v>38</v>
      </c>
    </row>
    <row r="91" spans="1:19">
      <c r="A91" s="4">
        <v>79</v>
      </c>
      <c r="B91" s="5" t="s">
        <v>182</v>
      </c>
      <c r="C91" s="13" t="s">
        <v>183</v>
      </c>
      <c r="D91" s="34">
        <v>44</v>
      </c>
      <c r="E91" s="49">
        <f t="shared" si="11"/>
        <v>26.4</v>
      </c>
      <c r="F91" s="34">
        <v>50</v>
      </c>
      <c r="G91" s="49">
        <f t="shared" si="12"/>
        <v>30</v>
      </c>
      <c r="H91" s="34">
        <v>47</v>
      </c>
      <c r="I91" s="49">
        <f t="shared" si="13"/>
        <v>28.2</v>
      </c>
      <c r="J91" s="49">
        <f t="shared" si="9"/>
        <v>28.2</v>
      </c>
      <c r="K91" s="34">
        <v>30</v>
      </c>
      <c r="L91" s="54">
        <f t="shared" si="14"/>
        <v>10</v>
      </c>
      <c r="M91" s="34">
        <v>10</v>
      </c>
      <c r="N91" s="56">
        <f t="shared" si="15"/>
        <v>48.2</v>
      </c>
      <c r="O91" s="56">
        <f t="shared" si="16"/>
        <v>28.92</v>
      </c>
      <c r="P91" s="56">
        <f>'Lab Component'!K91</f>
        <v>18</v>
      </c>
      <c r="Q91" s="56">
        <f t="shared" si="10"/>
        <v>46.92</v>
      </c>
      <c r="R91" s="56">
        <f t="shared" si="17"/>
        <v>47</v>
      </c>
      <c r="S91" s="3">
        <v>38</v>
      </c>
    </row>
    <row r="92" spans="1:19">
      <c r="A92" s="4">
        <v>80</v>
      </c>
      <c r="B92" s="5" t="s">
        <v>184</v>
      </c>
      <c r="C92" s="13" t="s">
        <v>185</v>
      </c>
      <c r="D92" s="34">
        <v>42</v>
      </c>
      <c r="E92" s="49">
        <f t="shared" si="11"/>
        <v>25.2</v>
      </c>
      <c r="F92" s="34">
        <v>50</v>
      </c>
      <c r="G92" s="49">
        <f t="shared" si="12"/>
        <v>30</v>
      </c>
      <c r="H92" s="34">
        <v>50</v>
      </c>
      <c r="I92" s="49">
        <f t="shared" si="13"/>
        <v>30</v>
      </c>
      <c r="J92" s="49">
        <f t="shared" si="9"/>
        <v>28.4</v>
      </c>
      <c r="K92" s="34">
        <v>30</v>
      </c>
      <c r="L92" s="54">
        <f t="shared" si="14"/>
        <v>10</v>
      </c>
      <c r="M92" s="34">
        <v>9.5</v>
      </c>
      <c r="N92" s="56">
        <f t="shared" si="15"/>
        <v>47.9</v>
      </c>
      <c r="O92" s="56">
        <f t="shared" si="16"/>
        <v>28.74</v>
      </c>
      <c r="P92" s="56">
        <f>'Lab Component'!K92</f>
        <v>19</v>
      </c>
      <c r="Q92" s="56">
        <f t="shared" si="10"/>
        <v>47.74</v>
      </c>
      <c r="R92" s="56">
        <f t="shared" si="17"/>
        <v>48</v>
      </c>
      <c r="S92" s="3">
        <v>38</v>
      </c>
    </row>
    <row r="93" spans="1:19">
      <c r="A93" s="4">
        <v>81</v>
      </c>
      <c r="B93" s="5" t="s">
        <v>186</v>
      </c>
      <c r="C93" s="13" t="s">
        <v>187</v>
      </c>
      <c r="D93" s="34">
        <v>18</v>
      </c>
      <c r="E93" s="49">
        <f t="shared" si="11"/>
        <v>10.8</v>
      </c>
      <c r="F93" s="34">
        <v>21</v>
      </c>
      <c r="G93" s="49">
        <f t="shared" si="12"/>
        <v>12.6</v>
      </c>
      <c r="H93" s="34">
        <v>21</v>
      </c>
      <c r="I93" s="49">
        <f t="shared" si="13"/>
        <v>12.6</v>
      </c>
      <c r="J93" s="49">
        <f t="shared" si="9"/>
        <v>12</v>
      </c>
      <c r="K93" s="34">
        <v>27</v>
      </c>
      <c r="L93" s="54">
        <f t="shared" si="14"/>
        <v>9</v>
      </c>
      <c r="M93" s="34">
        <v>10</v>
      </c>
      <c r="N93" s="34">
        <f t="shared" si="15"/>
        <v>31</v>
      </c>
      <c r="O93" s="56">
        <f t="shared" si="16"/>
        <v>18.6</v>
      </c>
      <c r="P93" s="56">
        <f>'Lab Component'!K93</f>
        <v>11</v>
      </c>
      <c r="Q93" s="56">
        <f t="shared" si="10"/>
        <v>29.6</v>
      </c>
      <c r="R93" s="56">
        <f t="shared" si="17"/>
        <v>30</v>
      </c>
      <c r="S93" s="3">
        <v>40</v>
      </c>
    </row>
    <row r="94" spans="1:19">
      <c r="A94" s="4">
        <v>82</v>
      </c>
      <c r="B94" s="5" t="s">
        <v>188</v>
      </c>
      <c r="C94" s="13" t="s">
        <v>189</v>
      </c>
      <c r="D94" s="34">
        <v>47</v>
      </c>
      <c r="E94" s="49">
        <f t="shared" si="11"/>
        <v>28.2</v>
      </c>
      <c r="F94" s="34">
        <v>50</v>
      </c>
      <c r="G94" s="49">
        <f t="shared" si="12"/>
        <v>30</v>
      </c>
      <c r="H94" s="34">
        <v>50</v>
      </c>
      <c r="I94" s="49">
        <f t="shared" si="13"/>
        <v>30</v>
      </c>
      <c r="J94" s="49">
        <f t="shared" si="9"/>
        <v>29.4</v>
      </c>
      <c r="K94" s="34">
        <v>30</v>
      </c>
      <c r="L94" s="54">
        <f t="shared" si="14"/>
        <v>10</v>
      </c>
      <c r="M94" s="34">
        <v>9</v>
      </c>
      <c r="N94" s="34">
        <f t="shared" si="15"/>
        <v>48.4</v>
      </c>
      <c r="O94" s="56">
        <f t="shared" si="16"/>
        <v>29.04</v>
      </c>
      <c r="P94" s="56">
        <f>'Lab Component'!K94</f>
        <v>19</v>
      </c>
      <c r="Q94" s="56">
        <f t="shared" si="10"/>
        <v>48.04</v>
      </c>
      <c r="R94" s="56">
        <f t="shared" si="17"/>
        <v>49</v>
      </c>
      <c r="S94" s="3">
        <v>37</v>
      </c>
    </row>
    <row r="95" spans="1:19">
      <c r="A95" s="4">
        <v>83</v>
      </c>
      <c r="B95" s="5" t="s">
        <v>190</v>
      </c>
      <c r="C95" s="13" t="s">
        <v>191</v>
      </c>
      <c r="D95" s="34">
        <v>49</v>
      </c>
      <c r="E95" s="49">
        <f t="shared" si="11"/>
        <v>29.4</v>
      </c>
      <c r="F95" s="34">
        <v>50</v>
      </c>
      <c r="G95" s="49">
        <f t="shared" si="12"/>
        <v>30</v>
      </c>
      <c r="H95" s="34">
        <v>47</v>
      </c>
      <c r="I95" s="49">
        <f t="shared" si="13"/>
        <v>28.2</v>
      </c>
      <c r="J95" s="49">
        <f t="shared" si="9"/>
        <v>29.2</v>
      </c>
      <c r="K95" s="34">
        <v>30</v>
      </c>
      <c r="L95" s="54">
        <f t="shared" si="14"/>
        <v>10</v>
      </c>
      <c r="M95" s="34">
        <v>10</v>
      </c>
      <c r="N95" s="56">
        <f t="shared" si="15"/>
        <v>49.2</v>
      </c>
      <c r="O95" s="56">
        <f t="shared" si="16"/>
        <v>29.52</v>
      </c>
      <c r="P95" s="56">
        <f>'Lab Component'!K95</f>
        <v>20</v>
      </c>
      <c r="Q95" s="56">
        <f t="shared" si="10"/>
        <v>49.52</v>
      </c>
      <c r="R95" s="56">
        <f t="shared" si="17"/>
        <v>50</v>
      </c>
      <c r="S95" s="3">
        <v>36</v>
      </c>
    </row>
    <row r="96" spans="1:19">
      <c r="A96" s="4">
        <v>84</v>
      </c>
      <c r="B96" s="5" t="s">
        <v>192</v>
      </c>
      <c r="C96" s="13" t="s">
        <v>193</v>
      </c>
      <c r="D96" s="34">
        <v>40</v>
      </c>
      <c r="E96" s="49">
        <f t="shared" si="11"/>
        <v>24</v>
      </c>
      <c r="F96" s="34">
        <v>49</v>
      </c>
      <c r="G96" s="49">
        <f t="shared" si="12"/>
        <v>29.4</v>
      </c>
      <c r="H96" s="34">
        <v>47</v>
      </c>
      <c r="I96" s="49">
        <f t="shared" si="13"/>
        <v>28.2</v>
      </c>
      <c r="J96" s="49">
        <f t="shared" si="9"/>
        <v>27.2</v>
      </c>
      <c r="K96" s="34">
        <v>30</v>
      </c>
      <c r="L96" s="54">
        <f t="shared" si="14"/>
        <v>10</v>
      </c>
      <c r="M96" s="34">
        <v>10</v>
      </c>
      <c r="N96" s="56">
        <f t="shared" si="15"/>
        <v>47.2</v>
      </c>
      <c r="O96" s="56">
        <f t="shared" si="16"/>
        <v>28.32</v>
      </c>
      <c r="P96" s="56">
        <f>'Lab Component'!K96</f>
        <v>18</v>
      </c>
      <c r="Q96" s="56">
        <f t="shared" si="10"/>
        <v>46.32</v>
      </c>
      <c r="R96" s="56">
        <f t="shared" si="17"/>
        <v>47</v>
      </c>
      <c r="S96" s="3">
        <v>37</v>
      </c>
    </row>
    <row r="97" spans="1:19">
      <c r="A97" s="4">
        <v>85</v>
      </c>
      <c r="B97" s="5" t="s">
        <v>194</v>
      </c>
      <c r="C97" s="13" t="s">
        <v>195</v>
      </c>
      <c r="D97" s="34">
        <v>38</v>
      </c>
      <c r="E97" s="49">
        <f t="shared" si="11"/>
        <v>22.8</v>
      </c>
      <c r="F97" s="34">
        <v>44</v>
      </c>
      <c r="G97" s="49">
        <f t="shared" si="12"/>
        <v>26.4</v>
      </c>
      <c r="H97" s="34">
        <v>40</v>
      </c>
      <c r="I97" s="49">
        <f t="shared" si="13"/>
        <v>24</v>
      </c>
      <c r="J97" s="49">
        <f t="shared" si="9"/>
        <v>24.4</v>
      </c>
      <c r="K97" s="34">
        <v>30</v>
      </c>
      <c r="L97" s="54">
        <f t="shared" si="14"/>
        <v>10</v>
      </c>
      <c r="M97" s="34">
        <v>8.5</v>
      </c>
      <c r="N97" s="56">
        <f t="shared" si="15"/>
        <v>42.9</v>
      </c>
      <c r="O97" s="56">
        <f t="shared" si="16"/>
        <v>25.74</v>
      </c>
      <c r="P97" s="56">
        <f>'Lab Component'!K97</f>
        <v>18</v>
      </c>
      <c r="Q97" s="56">
        <f t="shared" si="10"/>
        <v>43.74</v>
      </c>
      <c r="R97" s="56">
        <f t="shared" si="17"/>
        <v>44</v>
      </c>
      <c r="S97" s="3">
        <v>37</v>
      </c>
    </row>
    <row r="98" spans="1:19">
      <c r="A98" s="4">
        <v>86</v>
      </c>
      <c r="B98" s="5" t="s">
        <v>196</v>
      </c>
      <c r="C98" s="13" t="s">
        <v>197</v>
      </c>
      <c r="D98" s="34">
        <v>36</v>
      </c>
      <c r="E98" s="49">
        <f t="shared" si="11"/>
        <v>21.6</v>
      </c>
      <c r="F98" s="34">
        <v>47</v>
      </c>
      <c r="G98" s="49">
        <f t="shared" si="12"/>
        <v>28.2</v>
      </c>
      <c r="H98" s="34">
        <v>42</v>
      </c>
      <c r="I98" s="49">
        <f t="shared" si="13"/>
        <v>25.2</v>
      </c>
      <c r="J98" s="49">
        <f t="shared" si="9"/>
        <v>25</v>
      </c>
      <c r="K98" s="34">
        <v>30</v>
      </c>
      <c r="L98" s="54">
        <f t="shared" si="14"/>
        <v>10</v>
      </c>
      <c r="M98" s="34">
        <v>8.5</v>
      </c>
      <c r="N98" s="56">
        <f t="shared" si="15"/>
        <v>43.5</v>
      </c>
      <c r="O98" s="56">
        <f t="shared" si="16"/>
        <v>26.1</v>
      </c>
      <c r="P98" s="56">
        <f>'Lab Component'!K98</f>
        <v>19</v>
      </c>
      <c r="Q98" s="56">
        <f t="shared" si="10"/>
        <v>45.1</v>
      </c>
      <c r="R98" s="56">
        <f t="shared" si="17"/>
        <v>46</v>
      </c>
      <c r="S98" s="3">
        <v>37</v>
      </c>
    </row>
    <row r="99" spans="1:19">
      <c r="A99" s="4">
        <v>87</v>
      </c>
      <c r="B99" s="5" t="s">
        <v>198</v>
      </c>
      <c r="C99" s="13" t="s">
        <v>199</v>
      </c>
      <c r="D99" s="34">
        <v>30</v>
      </c>
      <c r="E99" s="49">
        <f t="shared" si="11"/>
        <v>18</v>
      </c>
      <c r="F99" s="34">
        <v>45</v>
      </c>
      <c r="G99" s="49">
        <f t="shared" si="12"/>
        <v>27</v>
      </c>
      <c r="H99" s="34">
        <v>46</v>
      </c>
      <c r="I99" s="49">
        <f t="shared" si="13"/>
        <v>27.6</v>
      </c>
      <c r="J99" s="49">
        <f t="shared" si="9"/>
        <v>24.2</v>
      </c>
      <c r="K99" s="34">
        <v>30</v>
      </c>
      <c r="L99" s="54">
        <f t="shared" si="14"/>
        <v>10</v>
      </c>
      <c r="M99" s="34">
        <v>8.5</v>
      </c>
      <c r="N99" s="56">
        <f t="shared" si="15"/>
        <v>42.7</v>
      </c>
      <c r="O99" s="56">
        <f t="shared" si="16"/>
        <v>25.62</v>
      </c>
      <c r="P99" s="56">
        <f>'Lab Component'!K99</f>
        <v>20</v>
      </c>
      <c r="Q99" s="56">
        <f t="shared" si="10"/>
        <v>45.62</v>
      </c>
      <c r="R99" s="56">
        <f t="shared" si="17"/>
        <v>46</v>
      </c>
      <c r="S99" s="3">
        <v>37</v>
      </c>
    </row>
    <row r="100" spans="1:19">
      <c r="A100" s="4">
        <v>88</v>
      </c>
      <c r="B100" s="5" t="s">
        <v>200</v>
      </c>
      <c r="C100" s="13" t="s">
        <v>201</v>
      </c>
      <c r="D100" s="34">
        <v>49</v>
      </c>
      <c r="E100" s="49">
        <f t="shared" si="11"/>
        <v>29.4</v>
      </c>
      <c r="F100" s="34">
        <v>50</v>
      </c>
      <c r="G100" s="49">
        <f t="shared" si="12"/>
        <v>30</v>
      </c>
      <c r="H100" s="34">
        <v>50</v>
      </c>
      <c r="I100" s="49">
        <f t="shared" si="13"/>
        <v>30</v>
      </c>
      <c r="J100" s="49">
        <f t="shared" si="9"/>
        <v>29.8</v>
      </c>
      <c r="K100" s="34">
        <v>30</v>
      </c>
      <c r="L100" s="54">
        <f t="shared" si="14"/>
        <v>10</v>
      </c>
      <c r="M100" s="34">
        <v>10</v>
      </c>
      <c r="N100" s="56">
        <f t="shared" si="15"/>
        <v>49.8</v>
      </c>
      <c r="O100" s="56">
        <f t="shared" si="16"/>
        <v>29.88</v>
      </c>
      <c r="P100" s="56">
        <f>'Lab Component'!K100</f>
        <v>19</v>
      </c>
      <c r="Q100" s="56">
        <f t="shared" si="10"/>
        <v>48.88</v>
      </c>
      <c r="R100" s="56">
        <f t="shared" si="17"/>
        <v>49</v>
      </c>
      <c r="S100" s="3">
        <v>38</v>
      </c>
    </row>
    <row r="101" ht="30" spans="1:19">
      <c r="A101" s="4">
        <v>89</v>
      </c>
      <c r="B101" s="5" t="s">
        <v>202</v>
      </c>
      <c r="C101" s="13" t="s">
        <v>203</v>
      </c>
      <c r="D101" s="34">
        <v>22</v>
      </c>
      <c r="E101" s="49">
        <f t="shared" si="11"/>
        <v>13.2</v>
      </c>
      <c r="F101" s="34">
        <v>30</v>
      </c>
      <c r="G101" s="49">
        <f t="shared" si="12"/>
        <v>18</v>
      </c>
      <c r="H101" s="34">
        <v>24</v>
      </c>
      <c r="I101" s="49">
        <f t="shared" si="13"/>
        <v>14.4</v>
      </c>
      <c r="J101" s="49">
        <f t="shared" si="9"/>
        <v>15.2</v>
      </c>
      <c r="K101" s="34">
        <v>30</v>
      </c>
      <c r="L101" s="54">
        <f t="shared" si="14"/>
        <v>10</v>
      </c>
      <c r="M101" s="34">
        <v>9</v>
      </c>
      <c r="N101" s="56">
        <f t="shared" si="15"/>
        <v>34.2</v>
      </c>
      <c r="O101" s="56">
        <f t="shared" si="16"/>
        <v>20.52</v>
      </c>
      <c r="P101" s="56">
        <f>'Lab Component'!K101</f>
        <v>18</v>
      </c>
      <c r="Q101" s="56">
        <f t="shared" si="10"/>
        <v>38.52</v>
      </c>
      <c r="R101" s="56">
        <f t="shared" si="17"/>
        <v>39</v>
      </c>
      <c r="S101" s="3">
        <v>38</v>
      </c>
    </row>
    <row r="102" spans="1:19">
      <c r="A102" s="4">
        <v>90</v>
      </c>
      <c r="B102" s="5" t="s">
        <v>204</v>
      </c>
      <c r="C102" s="13" t="s">
        <v>205</v>
      </c>
      <c r="D102" s="34">
        <v>50</v>
      </c>
      <c r="E102" s="49">
        <f t="shared" si="11"/>
        <v>30</v>
      </c>
      <c r="F102" s="34">
        <v>50</v>
      </c>
      <c r="G102" s="49">
        <f t="shared" si="12"/>
        <v>30</v>
      </c>
      <c r="H102" s="34">
        <v>50</v>
      </c>
      <c r="I102" s="49">
        <f t="shared" si="13"/>
        <v>30</v>
      </c>
      <c r="J102" s="49">
        <f t="shared" si="9"/>
        <v>30</v>
      </c>
      <c r="K102" s="34">
        <v>30</v>
      </c>
      <c r="L102" s="54">
        <f t="shared" si="14"/>
        <v>10</v>
      </c>
      <c r="M102" s="34">
        <v>10</v>
      </c>
      <c r="N102" s="34">
        <f t="shared" si="15"/>
        <v>50</v>
      </c>
      <c r="O102" s="56">
        <f t="shared" si="16"/>
        <v>30</v>
      </c>
      <c r="P102" s="56">
        <f>'Lab Component'!K102</f>
        <v>19</v>
      </c>
      <c r="Q102" s="56">
        <f t="shared" si="10"/>
        <v>49</v>
      </c>
      <c r="R102" s="56">
        <f t="shared" si="17"/>
        <v>49</v>
      </c>
      <c r="S102" s="3">
        <v>39</v>
      </c>
    </row>
    <row r="103" spans="1:19">
      <c r="A103" s="4">
        <v>91</v>
      </c>
      <c r="B103" s="5" t="s">
        <v>206</v>
      </c>
      <c r="C103" s="13" t="s">
        <v>207</v>
      </c>
      <c r="D103" s="34">
        <v>50</v>
      </c>
      <c r="E103" s="49">
        <f t="shared" si="11"/>
        <v>30</v>
      </c>
      <c r="F103" s="34">
        <v>50</v>
      </c>
      <c r="G103" s="49">
        <f t="shared" si="12"/>
        <v>30</v>
      </c>
      <c r="H103" s="34">
        <v>48</v>
      </c>
      <c r="I103" s="49">
        <f t="shared" si="13"/>
        <v>28.8</v>
      </c>
      <c r="J103" s="49">
        <f t="shared" si="9"/>
        <v>29.6</v>
      </c>
      <c r="K103" s="34">
        <v>30</v>
      </c>
      <c r="L103" s="54">
        <f t="shared" si="14"/>
        <v>10</v>
      </c>
      <c r="M103" s="34">
        <v>10</v>
      </c>
      <c r="N103" s="34">
        <f t="shared" si="15"/>
        <v>49.6</v>
      </c>
      <c r="O103" s="56">
        <f t="shared" si="16"/>
        <v>29.76</v>
      </c>
      <c r="P103" s="56">
        <f>'Lab Component'!K103</f>
        <v>20</v>
      </c>
      <c r="Q103" s="56">
        <f t="shared" si="10"/>
        <v>49.76</v>
      </c>
      <c r="R103" s="56">
        <f t="shared" si="17"/>
        <v>50</v>
      </c>
      <c r="S103" s="3">
        <v>38</v>
      </c>
    </row>
    <row r="104" spans="1:19">
      <c r="A104" s="4">
        <v>92</v>
      </c>
      <c r="B104" s="5" t="s">
        <v>208</v>
      </c>
      <c r="C104" s="13" t="s">
        <v>209</v>
      </c>
      <c r="D104" s="34">
        <v>37</v>
      </c>
      <c r="E104" s="49">
        <f t="shared" si="11"/>
        <v>22.2</v>
      </c>
      <c r="F104" s="34">
        <v>42</v>
      </c>
      <c r="G104" s="49">
        <f t="shared" si="12"/>
        <v>25.2</v>
      </c>
      <c r="H104" s="34">
        <v>35</v>
      </c>
      <c r="I104" s="49">
        <f t="shared" si="13"/>
        <v>21</v>
      </c>
      <c r="J104" s="49">
        <f t="shared" si="9"/>
        <v>22.8</v>
      </c>
      <c r="K104" s="34">
        <v>30</v>
      </c>
      <c r="L104" s="54">
        <f t="shared" si="14"/>
        <v>10</v>
      </c>
      <c r="M104" s="34">
        <v>8.5</v>
      </c>
      <c r="N104" s="56">
        <f t="shared" si="15"/>
        <v>41.3</v>
      </c>
      <c r="O104" s="56">
        <f t="shared" si="16"/>
        <v>24.78</v>
      </c>
      <c r="P104" s="56">
        <f>'Lab Component'!K104</f>
        <v>19</v>
      </c>
      <c r="Q104" s="56">
        <f t="shared" si="10"/>
        <v>43.78</v>
      </c>
      <c r="R104" s="56">
        <f t="shared" si="17"/>
        <v>44</v>
      </c>
      <c r="S104" s="3">
        <v>38</v>
      </c>
    </row>
    <row r="105" spans="1:19">
      <c r="A105" s="4">
        <v>93</v>
      </c>
      <c r="B105" s="5" t="s">
        <v>210</v>
      </c>
      <c r="C105" s="13" t="s">
        <v>211</v>
      </c>
      <c r="D105" s="34">
        <v>26</v>
      </c>
      <c r="E105" s="49">
        <f t="shared" si="11"/>
        <v>15.6</v>
      </c>
      <c r="F105" s="34">
        <v>0</v>
      </c>
      <c r="G105" s="49">
        <f t="shared" si="12"/>
        <v>0</v>
      </c>
      <c r="H105" s="34">
        <v>28</v>
      </c>
      <c r="I105" s="49">
        <f t="shared" si="13"/>
        <v>16.8</v>
      </c>
      <c r="J105" s="49">
        <f t="shared" si="9"/>
        <v>10.8</v>
      </c>
      <c r="K105" s="34">
        <v>30</v>
      </c>
      <c r="L105" s="54">
        <f t="shared" si="14"/>
        <v>10</v>
      </c>
      <c r="M105" s="34">
        <v>10</v>
      </c>
      <c r="N105" s="56">
        <f t="shared" si="15"/>
        <v>30.8</v>
      </c>
      <c r="O105" s="56">
        <f t="shared" si="16"/>
        <v>18.48</v>
      </c>
      <c r="P105" s="56" t="e">
        <f>'Lab Component'!K105</f>
        <v>#DIV/0!</v>
      </c>
      <c r="Q105" s="56" t="e">
        <f t="shared" si="10"/>
        <v>#DIV/0!</v>
      </c>
      <c r="R105" s="56" t="e">
        <f t="shared" si="17"/>
        <v>#DIV/0!</v>
      </c>
      <c r="S105" s="3">
        <v>36</v>
      </c>
    </row>
    <row r="106" spans="1:19">
      <c r="A106" s="4">
        <v>94</v>
      </c>
      <c r="B106" s="5" t="s">
        <v>212</v>
      </c>
      <c r="C106" s="13" t="s">
        <v>213</v>
      </c>
      <c r="D106" s="34">
        <v>50</v>
      </c>
      <c r="E106" s="49">
        <f t="shared" si="11"/>
        <v>30</v>
      </c>
      <c r="F106" s="34">
        <v>38</v>
      </c>
      <c r="G106" s="49">
        <f t="shared" si="12"/>
        <v>22.8</v>
      </c>
      <c r="H106" s="34">
        <v>50</v>
      </c>
      <c r="I106" s="49">
        <f t="shared" si="13"/>
        <v>30</v>
      </c>
      <c r="J106" s="49">
        <f t="shared" si="9"/>
        <v>27.6</v>
      </c>
      <c r="K106" s="34">
        <v>30</v>
      </c>
      <c r="L106" s="54">
        <f t="shared" si="14"/>
        <v>10</v>
      </c>
      <c r="M106" s="34">
        <v>10</v>
      </c>
      <c r="N106" s="56">
        <f t="shared" si="15"/>
        <v>47.6</v>
      </c>
      <c r="O106" s="56">
        <f t="shared" si="16"/>
        <v>28.56</v>
      </c>
      <c r="P106" s="56">
        <f>'Lab Component'!K106</f>
        <v>19</v>
      </c>
      <c r="Q106" s="56">
        <f t="shared" si="10"/>
        <v>47.56</v>
      </c>
      <c r="R106" s="56">
        <f t="shared" si="17"/>
        <v>48</v>
      </c>
      <c r="S106" s="3">
        <v>37</v>
      </c>
    </row>
    <row r="107" spans="1:19">
      <c r="A107" s="4">
        <v>95</v>
      </c>
      <c r="B107" s="5" t="s">
        <v>214</v>
      </c>
      <c r="C107" s="13" t="s">
        <v>215</v>
      </c>
      <c r="D107" s="34">
        <v>44</v>
      </c>
      <c r="E107" s="49">
        <f t="shared" si="11"/>
        <v>26.4</v>
      </c>
      <c r="F107" s="34">
        <v>49</v>
      </c>
      <c r="G107" s="49">
        <f t="shared" si="12"/>
        <v>29.4</v>
      </c>
      <c r="H107" s="34">
        <v>46</v>
      </c>
      <c r="I107" s="49">
        <f t="shared" si="13"/>
        <v>27.6</v>
      </c>
      <c r="J107" s="49">
        <f t="shared" si="9"/>
        <v>27.8</v>
      </c>
      <c r="K107" s="34">
        <v>30</v>
      </c>
      <c r="L107" s="54">
        <f t="shared" si="14"/>
        <v>10</v>
      </c>
      <c r="M107" s="34">
        <v>9.5</v>
      </c>
      <c r="N107" s="56">
        <f t="shared" si="15"/>
        <v>47.3</v>
      </c>
      <c r="O107" s="56">
        <f t="shared" si="16"/>
        <v>28.38</v>
      </c>
      <c r="P107" s="56">
        <f>'Lab Component'!K107</f>
        <v>18</v>
      </c>
      <c r="Q107" s="56">
        <f t="shared" si="10"/>
        <v>46.38</v>
      </c>
      <c r="R107" s="56">
        <f t="shared" si="17"/>
        <v>47</v>
      </c>
      <c r="S107" s="3">
        <v>37</v>
      </c>
    </row>
    <row r="108" spans="1:19">
      <c r="A108" s="4">
        <v>96</v>
      </c>
      <c r="B108" s="5" t="s">
        <v>216</v>
      </c>
      <c r="C108" s="13" t="s">
        <v>217</v>
      </c>
      <c r="D108" s="34">
        <v>49</v>
      </c>
      <c r="E108" s="49">
        <f t="shared" si="11"/>
        <v>29.4</v>
      </c>
      <c r="F108" s="34">
        <v>49</v>
      </c>
      <c r="G108" s="49">
        <f t="shared" si="12"/>
        <v>29.4</v>
      </c>
      <c r="H108" s="34">
        <v>50</v>
      </c>
      <c r="I108" s="49">
        <f t="shared" si="13"/>
        <v>30</v>
      </c>
      <c r="J108" s="49">
        <f t="shared" si="9"/>
        <v>29.6</v>
      </c>
      <c r="K108" s="34">
        <v>30</v>
      </c>
      <c r="L108" s="54">
        <f t="shared" si="14"/>
        <v>10</v>
      </c>
      <c r="M108" s="34">
        <v>9.5</v>
      </c>
      <c r="N108" s="56">
        <f t="shared" si="15"/>
        <v>49.1</v>
      </c>
      <c r="O108" s="56">
        <f t="shared" si="16"/>
        <v>29.46</v>
      </c>
      <c r="P108" s="56">
        <f>'Lab Component'!K108</f>
        <v>19</v>
      </c>
      <c r="Q108" s="56">
        <f t="shared" si="10"/>
        <v>48.46</v>
      </c>
      <c r="R108" s="56">
        <f t="shared" si="17"/>
        <v>49</v>
      </c>
      <c r="S108" s="3">
        <v>38</v>
      </c>
    </row>
    <row r="109" ht="30" spans="1:19">
      <c r="A109" s="4">
        <v>97</v>
      </c>
      <c r="B109" s="5" t="s">
        <v>218</v>
      </c>
      <c r="C109" s="13" t="s">
        <v>219</v>
      </c>
      <c r="D109" s="34">
        <v>36</v>
      </c>
      <c r="E109" s="49">
        <f t="shared" si="11"/>
        <v>21.6</v>
      </c>
      <c r="F109" s="34">
        <v>44</v>
      </c>
      <c r="G109" s="49">
        <f t="shared" si="12"/>
        <v>26.4</v>
      </c>
      <c r="H109" s="34">
        <v>43</v>
      </c>
      <c r="I109" s="49">
        <f t="shared" si="13"/>
        <v>25.8</v>
      </c>
      <c r="J109" s="49">
        <f t="shared" si="9"/>
        <v>24.6</v>
      </c>
      <c r="K109" s="34">
        <v>30</v>
      </c>
      <c r="L109" s="54">
        <f t="shared" si="14"/>
        <v>10</v>
      </c>
      <c r="M109" s="34">
        <v>10</v>
      </c>
      <c r="N109" s="56">
        <f t="shared" si="15"/>
        <v>44.6</v>
      </c>
      <c r="O109" s="56">
        <f t="shared" si="16"/>
        <v>26.76</v>
      </c>
      <c r="P109" s="56">
        <f>'Lab Component'!K109</f>
        <v>19</v>
      </c>
      <c r="Q109" s="56">
        <f t="shared" si="10"/>
        <v>45.76</v>
      </c>
      <c r="R109" s="56">
        <f t="shared" si="17"/>
        <v>46</v>
      </c>
      <c r="S109" s="3">
        <v>38</v>
      </c>
    </row>
    <row r="110" spans="1:19">
      <c r="A110" s="4">
        <v>98</v>
      </c>
      <c r="B110" s="5" t="s">
        <v>220</v>
      </c>
      <c r="C110" s="13" t="s">
        <v>221</v>
      </c>
      <c r="D110" s="34">
        <v>34</v>
      </c>
      <c r="E110" s="49">
        <f t="shared" si="11"/>
        <v>20.4</v>
      </c>
      <c r="F110" s="34">
        <v>46</v>
      </c>
      <c r="G110" s="49">
        <f t="shared" si="12"/>
        <v>27.6</v>
      </c>
      <c r="H110" s="34">
        <v>48</v>
      </c>
      <c r="I110" s="49">
        <f t="shared" si="13"/>
        <v>28.8</v>
      </c>
      <c r="J110" s="49">
        <f t="shared" si="9"/>
        <v>25.6</v>
      </c>
      <c r="K110" s="34">
        <v>30</v>
      </c>
      <c r="L110" s="54">
        <f t="shared" si="14"/>
        <v>10</v>
      </c>
      <c r="M110" s="34">
        <v>9</v>
      </c>
      <c r="N110" s="56">
        <f t="shared" si="15"/>
        <v>44.6</v>
      </c>
      <c r="O110" s="56">
        <f t="shared" si="16"/>
        <v>26.76</v>
      </c>
      <c r="P110" s="56">
        <f>'Lab Component'!K110</f>
        <v>19</v>
      </c>
      <c r="Q110" s="56">
        <f t="shared" si="10"/>
        <v>45.76</v>
      </c>
      <c r="R110" s="56">
        <f t="shared" si="17"/>
        <v>46</v>
      </c>
      <c r="S110" s="3">
        <v>36</v>
      </c>
    </row>
    <row r="111" spans="1:19">
      <c r="A111" s="4">
        <v>99</v>
      </c>
      <c r="B111" s="5" t="s">
        <v>222</v>
      </c>
      <c r="C111" s="13" t="s">
        <v>223</v>
      </c>
      <c r="D111" s="34">
        <v>41</v>
      </c>
      <c r="E111" s="49">
        <f t="shared" si="11"/>
        <v>24.6</v>
      </c>
      <c r="F111" s="34">
        <v>28</v>
      </c>
      <c r="G111" s="49">
        <f t="shared" si="12"/>
        <v>16.8</v>
      </c>
      <c r="H111" s="34">
        <v>39</v>
      </c>
      <c r="I111" s="49">
        <f t="shared" si="13"/>
        <v>23.4</v>
      </c>
      <c r="J111" s="49">
        <f t="shared" si="9"/>
        <v>21.6</v>
      </c>
      <c r="K111" s="34">
        <v>30</v>
      </c>
      <c r="L111" s="54">
        <f t="shared" si="14"/>
        <v>10</v>
      </c>
      <c r="M111" s="34">
        <v>10</v>
      </c>
      <c r="N111" s="34">
        <f t="shared" si="15"/>
        <v>41.6</v>
      </c>
      <c r="O111" s="56">
        <f t="shared" si="16"/>
        <v>24.96</v>
      </c>
      <c r="P111" s="56">
        <f>'Lab Component'!K111</f>
        <v>20</v>
      </c>
      <c r="Q111" s="56">
        <f t="shared" si="10"/>
        <v>44.96</v>
      </c>
      <c r="R111" s="56">
        <f t="shared" si="17"/>
        <v>45</v>
      </c>
      <c r="S111" s="3">
        <v>36</v>
      </c>
    </row>
    <row r="112" spans="1:19">
      <c r="A112" s="4">
        <v>100</v>
      </c>
      <c r="B112" s="5" t="s">
        <v>224</v>
      </c>
      <c r="C112" s="13" t="s">
        <v>225</v>
      </c>
      <c r="D112" s="34">
        <v>50</v>
      </c>
      <c r="E112" s="49">
        <f t="shared" si="11"/>
        <v>30</v>
      </c>
      <c r="F112" s="34">
        <v>50</v>
      </c>
      <c r="G112" s="49">
        <f t="shared" si="12"/>
        <v>30</v>
      </c>
      <c r="H112" s="34">
        <v>49</v>
      </c>
      <c r="I112" s="49">
        <f t="shared" si="13"/>
        <v>29.4</v>
      </c>
      <c r="J112" s="49">
        <f t="shared" si="9"/>
        <v>29.8</v>
      </c>
      <c r="K112" s="34">
        <v>30</v>
      </c>
      <c r="L112" s="54">
        <f t="shared" si="14"/>
        <v>10</v>
      </c>
      <c r="M112" s="34">
        <v>10</v>
      </c>
      <c r="N112" s="34">
        <f t="shared" si="15"/>
        <v>49.8</v>
      </c>
      <c r="O112" s="56">
        <f t="shared" si="16"/>
        <v>29.88</v>
      </c>
      <c r="P112" s="56">
        <f>'Lab Component'!K112</f>
        <v>20</v>
      </c>
      <c r="Q112" s="56">
        <f t="shared" si="10"/>
        <v>49.88</v>
      </c>
      <c r="R112" s="56">
        <f t="shared" si="17"/>
        <v>50</v>
      </c>
      <c r="S112" s="3">
        <v>39</v>
      </c>
    </row>
    <row r="113" spans="1:19">
      <c r="A113" s="4">
        <v>101</v>
      </c>
      <c r="B113" s="5" t="s">
        <v>226</v>
      </c>
      <c r="C113" s="13" t="s">
        <v>227</v>
      </c>
      <c r="D113" s="34">
        <v>39</v>
      </c>
      <c r="E113" s="49">
        <f t="shared" si="11"/>
        <v>23.4</v>
      </c>
      <c r="F113" s="34">
        <v>50</v>
      </c>
      <c r="G113" s="49">
        <f t="shared" si="12"/>
        <v>30</v>
      </c>
      <c r="H113" s="34">
        <v>46</v>
      </c>
      <c r="I113" s="49">
        <f t="shared" si="13"/>
        <v>27.6</v>
      </c>
      <c r="J113" s="49">
        <f t="shared" si="9"/>
        <v>27</v>
      </c>
      <c r="K113" s="34">
        <v>30</v>
      </c>
      <c r="L113" s="54">
        <f t="shared" si="14"/>
        <v>10</v>
      </c>
      <c r="M113" s="34">
        <v>8.5</v>
      </c>
      <c r="N113" s="56">
        <f t="shared" si="15"/>
        <v>45.5</v>
      </c>
      <c r="O113" s="56">
        <f t="shared" si="16"/>
        <v>27.3</v>
      </c>
      <c r="P113" s="56">
        <f>'Lab Component'!K113</f>
        <v>19</v>
      </c>
      <c r="Q113" s="56">
        <f t="shared" si="10"/>
        <v>46.3</v>
      </c>
      <c r="R113" s="56">
        <f t="shared" si="17"/>
        <v>47</v>
      </c>
      <c r="S113" s="3">
        <v>40</v>
      </c>
    </row>
    <row r="114" spans="1:19">
      <c r="A114" s="4">
        <v>102</v>
      </c>
      <c r="B114" s="5" t="s">
        <v>228</v>
      </c>
      <c r="C114" s="13" t="s">
        <v>229</v>
      </c>
      <c r="D114" s="34">
        <v>33</v>
      </c>
      <c r="E114" s="49">
        <f t="shared" si="11"/>
        <v>19.8</v>
      </c>
      <c r="F114" s="34">
        <v>37</v>
      </c>
      <c r="G114" s="49">
        <f t="shared" si="12"/>
        <v>22.2</v>
      </c>
      <c r="H114" s="34">
        <v>46</v>
      </c>
      <c r="I114" s="49">
        <f t="shared" si="13"/>
        <v>27.6</v>
      </c>
      <c r="J114" s="49">
        <f t="shared" si="9"/>
        <v>23.2</v>
      </c>
      <c r="K114" s="34">
        <v>30</v>
      </c>
      <c r="L114" s="54">
        <f t="shared" si="14"/>
        <v>10</v>
      </c>
      <c r="M114" s="34">
        <v>10</v>
      </c>
      <c r="N114" s="56">
        <f t="shared" si="15"/>
        <v>43.2</v>
      </c>
      <c r="O114" s="56">
        <f t="shared" si="16"/>
        <v>25.92</v>
      </c>
      <c r="P114" s="56">
        <f>'Lab Component'!K114</f>
        <v>19</v>
      </c>
      <c r="Q114" s="56">
        <f t="shared" si="10"/>
        <v>44.92</v>
      </c>
      <c r="R114" s="56">
        <f t="shared" si="17"/>
        <v>45</v>
      </c>
      <c r="S114" s="3">
        <v>36</v>
      </c>
    </row>
    <row r="115" spans="1:19">
      <c r="A115" s="4">
        <v>103</v>
      </c>
      <c r="B115" s="5" t="s">
        <v>230</v>
      </c>
      <c r="C115" s="13" t="s">
        <v>231</v>
      </c>
      <c r="D115" s="34">
        <v>28</v>
      </c>
      <c r="E115" s="49">
        <f t="shared" si="11"/>
        <v>16.8</v>
      </c>
      <c r="F115" s="34">
        <v>50</v>
      </c>
      <c r="G115" s="49">
        <f t="shared" si="12"/>
        <v>30</v>
      </c>
      <c r="H115" s="34">
        <v>44</v>
      </c>
      <c r="I115" s="49">
        <f t="shared" si="13"/>
        <v>26.4</v>
      </c>
      <c r="J115" s="49">
        <f t="shared" si="9"/>
        <v>24.4</v>
      </c>
      <c r="K115" s="34">
        <v>30</v>
      </c>
      <c r="L115" s="54">
        <f t="shared" si="14"/>
        <v>10</v>
      </c>
      <c r="M115" s="34">
        <v>9.5</v>
      </c>
      <c r="N115" s="56">
        <f t="shared" si="15"/>
        <v>43.9</v>
      </c>
      <c r="O115" s="56">
        <f t="shared" si="16"/>
        <v>26.34</v>
      </c>
      <c r="P115" s="56">
        <f>'Lab Component'!K115</f>
        <v>20</v>
      </c>
      <c r="Q115" s="56">
        <f t="shared" si="10"/>
        <v>46.34</v>
      </c>
      <c r="R115" s="56">
        <f t="shared" si="17"/>
        <v>47</v>
      </c>
      <c r="S115" s="3">
        <v>37</v>
      </c>
    </row>
    <row r="116" spans="1:19">
      <c r="A116" s="4">
        <v>104</v>
      </c>
      <c r="B116" s="5" t="s">
        <v>232</v>
      </c>
      <c r="C116" s="13" t="s">
        <v>233</v>
      </c>
      <c r="D116" s="34">
        <v>50</v>
      </c>
      <c r="E116" s="49">
        <f t="shared" si="11"/>
        <v>30</v>
      </c>
      <c r="F116" s="34">
        <v>34</v>
      </c>
      <c r="G116" s="49">
        <f t="shared" si="12"/>
        <v>20.4</v>
      </c>
      <c r="H116" s="34">
        <v>50</v>
      </c>
      <c r="I116" s="49">
        <f t="shared" si="13"/>
        <v>30</v>
      </c>
      <c r="J116" s="49">
        <f t="shared" si="9"/>
        <v>26.8</v>
      </c>
      <c r="K116" s="34">
        <v>30</v>
      </c>
      <c r="L116" s="54">
        <f t="shared" si="14"/>
        <v>10</v>
      </c>
      <c r="M116" s="34">
        <v>10</v>
      </c>
      <c r="N116" s="56">
        <f t="shared" si="15"/>
        <v>46.8</v>
      </c>
      <c r="O116" s="56">
        <f t="shared" si="16"/>
        <v>28.08</v>
      </c>
      <c r="P116" s="56">
        <f>'Lab Component'!K116</f>
        <v>20</v>
      </c>
      <c r="Q116" s="56">
        <f t="shared" si="10"/>
        <v>48.08</v>
      </c>
      <c r="R116" s="56">
        <f t="shared" si="17"/>
        <v>49</v>
      </c>
      <c r="S116" s="3">
        <v>36</v>
      </c>
    </row>
    <row r="117" spans="1:19">
      <c r="A117" s="4">
        <v>105</v>
      </c>
      <c r="B117" s="5" t="s">
        <v>234</v>
      </c>
      <c r="C117" s="13" t="s">
        <v>235</v>
      </c>
      <c r="D117" s="34">
        <v>47</v>
      </c>
      <c r="E117" s="49">
        <f t="shared" si="11"/>
        <v>28.2</v>
      </c>
      <c r="F117" s="34">
        <v>50</v>
      </c>
      <c r="G117" s="49">
        <f t="shared" si="12"/>
        <v>30</v>
      </c>
      <c r="H117" s="34">
        <v>50</v>
      </c>
      <c r="I117" s="49">
        <f t="shared" si="13"/>
        <v>30</v>
      </c>
      <c r="J117" s="49">
        <f t="shared" si="9"/>
        <v>29.4</v>
      </c>
      <c r="K117" s="34">
        <v>30</v>
      </c>
      <c r="L117" s="54">
        <f t="shared" si="14"/>
        <v>10</v>
      </c>
      <c r="M117" s="34">
        <v>9.5</v>
      </c>
      <c r="N117" s="56">
        <f t="shared" si="15"/>
        <v>48.9</v>
      </c>
      <c r="O117" s="56">
        <f t="shared" si="16"/>
        <v>29.34</v>
      </c>
      <c r="P117" s="56">
        <f>'Lab Component'!K117</f>
        <v>20</v>
      </c>
      <c r="Q117" s="56">
        <f t="shared" si="10"/>
        <v>49.34</v>
      </c>
      <c r="R117" s="56">
        <f t="shared" si="17"/>
        <v>50</v>
      </c>
      <c r="S117" s="3">
        <v>37</v>
      </c>
    </row>
    <row r="118" spans="1:19">
      <c r="A118" s="4">
        <v>106</v>
      </c>
      <c r="B118" s="5" t="s">
        <v>236</v>
      </c>
      <c r="C118" s="13" t="s">
        <v>237</v>
      </c>
      <c r="D118" s="34">
        <v>28</v>
      </c>
      <c r="E118" s="49">
        <f t="shared" si="11"/>
        <v>16.8</v>
      </c>
      <c r="F118" s="34">
        <v>36</v>
      </c>
      <c r="G118" s="49">
        <f t="shared" si="12"/>
        <v>21.6</v>
      </c>
      <c r="H118" s="34">
        <v>45</v>
      </c>
      <c r="I118" s="49">
        <f t="shared" si="13"/>
        <v>27</v>
      </c>
      <c r="J118" s="49">
        <f t="shared" si="9"/>
        <v>21.8</v>
      </c>
      <c r="K118" s="34">
        <v>30</v>
      </c>
      <c r="L118" s="54">
        <f t="shared" si="14"/>
        <v>10</v>
      </c>
      <c r="M118" s="34">
        <v>8.5</v>
      </c>
      <c r="N118" s="56">
        <f t="shared" si="15"/>
        <v>40.3</v>
      </c>
      <c r="O118" s="56">
        <f t="shared" si="16"/>
        <v>24.18</v>
      </c>
      <c r="P118" s="56">
        <f>'Lab Component'!K118</f>
        <v>20</v>
      </c>
      <c r="Q118" s="56">
        <f t="shared" si="10"/>
        <v>44.18</v>
      </c>
      <c r="R118" s="56">
        <f t="shared" si="17"/>
        <v>45</v>
      </c>
      <c r="S118" s="3">
        <v>37</v>
      </c>
    </row>
    <row r="119" spans="1:19">
      <c r="A119" s="4">
        <v>107</v>
      </c>
      <c r="B119" s="5" t="s">
        <v>238</v>
      </c>
      <c r="C119" s="13" t="s">
        <v>239</v>
      </c>
      <c r="D119" s="34">
        <v>45</v>
      </c>
      <c r="E119" s="49">
        <f t="shared" si="11"/>
        <v>27</v>
      </c>
      <c r="F119" s="34">
        <v>49</v>
      </c>
      <c r="G119" s="49">
        <f t="shared" si="12"/>
        <v>29.4</v>
      </c>
      <c r="H119" s="34">
        <v>48</v>
      </c>
      <c r="I119" s="49">
        <f t="shared" si="13"/>
        <v>28.8</v>
      </c>
      <c r="J119" s="49">
        <f t="shared" si="9"/>
        <v>28.4</v>
      </c>
      <c r="K119" s="34">
        <v>30</v>
      </c>
      <c r="L119" s="54">
        <f t="shared" si="14"/>
        <v>10</v>
      </c>
      <c r="M119" s="34">
        <v>8.5</v>
      </c>
      <c r="N119" s="56">
        <f t="shared" si="15"/>
        <v>46.9</v>
      </c>
      <c r="O119" s="56">
        <f t="shared" si="16"/>
        <v>28.14</v>
      </c>
      <c r="P119" s="56">
        <f>'Lab Component'!K119</f>
        <v>20</v>
      </c>
      <c r="Q119" s="56">
        <f t="shared" si="10"/>
        <v>48.14</v>
      </c>
      <c r="R119" s="56">
        <f t="shared" si="17"/>
        <v>49</v>
      </c>
      <c r="S119" s="3">
        <v>38</v>
      </c>
    </row>
    <row r="120" spans="1:19">
      <c r="A120" s="4">
        <v>108</v>
      </c>
      <c r="B120" s="5" t="s">
        <v>240</v>
      </c>
      <c r="C120" s="13" t="s">
        <v>241</v>
      </c>
      <c r="D120" s="34">
        <v>50</v>
      </c>
      <c r="E120" s="49">
        <f t="shared" si="11"/>
        <v>30</v>
      </c>
      <c r="F120" s="34">
        <v>50</v>
      </c>
      <c r="G120" s="49">
        <f t="shared" si="12"/>
        <v>30</v>
      </c>
      <c r="H120" s="34">
        <v>50</v>
      </c>
      <c r="I120" s="49">
        <f t="shared" si="13"/>
        <v>30</v>
      </c>
      <c r="J120" s="49">
        <f t="shared" si="9"/>
        <v>30</v>
      </c>
      <c r="K120" s="34">
        <v>30</v>
      </c>
      <c r="L120" s="54">
        <f t="shared" si="14"/>
        <v>10</v>
      </c>
      <c r="M120" s="34">
        <v>10</v>
      </c>
      <c r="N120" s="34">
        <f t="shared" si="15"/>
        <v>50</v>
      </c>
      <c r="O120" s="56">
        <f t="shared" si="16"/>
        <v>30</v>
      </c>
      <c r="P120" s="56">
        <f>'Lab Component'!K120</f>
        <v>20</v>
      </c>
      <c r="Q120" s="56">
        <f t="shared" si="10"/>
        <v>50</v>
      </c>
      <c r="R120" s="56">
        <f t="shared" si="17"/>
        <v>50</v>
      </c>
      <c r="S120" s="3">
        <v>37</v>
      </c>
    </row>
    <row r="121" spans="1:19">
      <c r="A121" s="4">
        <v>109</v>
      </c>
      <c r="B121" s="5" t="s">
        <v>242</v>
      </c>
      <c r="C121" s="13" t="s">
        <v>243</v>
      </c>
      <c r="D121" s="34">
        <v>43</v>
      </c>
      <c r="E121" s="49">
        <f t="shared" si="11"/>
        <v>25.8</v>
      </c>
      <c r="F121" s="34">
        <v>42</v>
      </c>
      <c r="G121" s="49">
        <f t="shared" si="12"/>
        <v>25.2</v>
      </c>
      <c r="H121" s="34">
        <v>38</v>
      </c>
      <c r="I121" s="49">
        <f t="shared" si="13"/>
        <v>22.8</v>
      </c>
      <c r="J121" s="49">
        <f t="shared" si="9"/>
        <v>24.6</v>
      </c>
      <c r="K121" s="34">
        <v>30</v>
      </c>
      <c r="L121" s="54">
        <f t="shared" si="14"/>
        <v>10</v>
      </c>
      <c r="M121" s="34">
        <v>10</v>
      </c>
      <c r="N121" s="34">
        <f t="shared" si="15"/>
        <v>44.6</v>
      </c>
      <c r="O121" s="56">
        <f t="shared" si="16"/>
        <v>26.76</v>
      </c>
      <c r="P121" s="56">
        <f>'Lab Component'!K121</f>
        <v>20</v>
      </c>
      <c r="Q121" s="56">
        <f t="shared" si="10"/>
        <v>46.76</v>
      </c>
      <c r="R121" s="56">
        <f t="shared" si="17"/>
        <v>47</v>
      </c>
      <c r="S121" s="3">
        <v>38</v>
      </c>
    </row>
    <row r="122" spans="1:19">
      <c r="A122" s="4">
        <v>110</v>
      </c>
      <c r="B122" s="5" t="s">
        <v>244</v>
      </c>
      <c r="C122" s="13" t="s">
        <v>245</v>
      </c>
      <c r="D122" s="34">
        <v>48</v>
      </c>
      <c r="E122" s="49">
        <f t="shared" si="11"/>
        <v>28.8</v>
      </c>
      <c r="F122" s="34">
        <v>50</v>
      </c>
      <c r="G122" s="49">
        <f t="shared" si="12"/>
        <v>30</v>
      </c>
      <c r="H122" s="34">
        <v>50</v>
      </c>
      <c r="I122" s="49">
        <f t="shared" si="13"/>
        <v>30</v>
      </c>
      <c r="J122" s="49">
        <f t="shared" si="9"/>
        <v>29.6</v>
      </c>
      <c r="K122" s="34">
        <v>30</v>
      </c>
      <c r="L122" s="54">
        <f t="shared" si="14"/>
        <v>10</v>
      </c>
      <c r="M122" s="34">
        <v>9.5</v>
      </c>
      <c r="N122" s="56">
        <f t="shared" si="15"/>
        <v>49.1</v>
      </c>
      <c r="O122" s="56">
        <f t="shared" si="16"/>
        <v>29.46</v>
      </c>
      <c r="P122" s="56">
        <f>'Lab Component'!K122</f>
        <v>20</v>
      </c>
      <c r="Q122" s="56">
        <f t="shared" si="10"/>
        <v>49.46</v>
      </c>
      <c r="R122" s="56">
        <f t="shared" si="17"/>
        <v>50</v>
      </c>
      <c r="S122" s="3">
        <v>38</v>
      </c>
    </row>
    <row r="123" spans="1:19">
      <c r="A123" s="4">
        <v>111</v>
      </c>
      <c r="B123" s="5" t="s">
        <v>246</v>
      </c>
      <c r="C123" s="13" t="s">
        <v>247</v>
      </c>
      <c r="D123" s="34">
        <v>42</v>
      </c>
      <c r="E123" s="49">
        <f t="shared" si="11"/>
        <v>25.2</v>
      </c>
      <c r="F123" s="34">
        <v>39</v>
      </c>
      <c r="G123" s="49">
        <f t="shared" si="12"/>
        <v>23.4</v>
      </c>
      <c r="H123" s="34">
        <v>41</v>
      </c>
      <c r="I123" s="49">
        <f t="shared" si="13"/>
        <v>24.6</v>
      </c>
      <c r="J123" s="49">
        <f t="shared" si="9"/>
        <v>24.4</v>
      </c>
      <c r="K123" s="34">
        <v>30</v>
      </c>
      <c r="L123" s="54">
        <f t="shared" si="14"/>
        <v>10</v>
      </c>
      <c r="M123" s="34">
        <v>10</v>
      </c>
      <c r="N123" s="56">
        <f t="shared" si="15"/>
        <v>44.4</v>
      </c>
      <c r="O123" s="56">
        <f t="shared" si="16"/>
        <v>26.64</v>
      </c>
      <c r="P123" s="56">
        <f>'Lab Component'!K123</f>
        <v>19</v>
      </c>
      <c r="Q123" s="56">
        <f t="shared" si="10"/>
        <v>45.64</v>
      </c>
      <c r="R123" s="56">
        <f t="shared" si="17"/>
        <v>46</v>
      </c>
      <c r="S123" s="3">
        <v>38</v>
      </c>
    </row>
    <row r="124" spans="1:19">
      <c r="A124" s="4">
        <v>112</v>
      </c>
      <c r="B124" s="5" t="s">
        <v>248</v>
      </c>
      <c r="C124" s="13" t="s">
        <v>249</v>
      </c>
      <c r="D124" s="34">
        <v>40</v>
      </c>
      <c r="E124" s="49">
        <f t="shared" si="11"/>
        <v>24</v>
      </c>
      <c r="F124" s="34">
        <v>47</v>
      </c>
      <c r="G124" s="49">
        <f t="shared" si="12"/>
        <v>28.2</v>
      </c>
      <c r="H124" s="34">
        <v>42</v>
      </c>
      <c r="I124" s="49">
        <f t="shared" si="13"/>
        <v>25.2</v>
      </c>
      <c r="J124" s="49">
        <f t="shared" si="9"/>
        <v>25.8</v>
      </c>
      <c r="K124" s="57">
        <v>30</v>
      </c>
      <c r="L124" s="54">
        <f t="shared" si="14"/>
        <v>10</v>
      </c>
      <c r="M124" s="34">
        <v>9</v>
      </c>
      <c r="N124" s="56">
        <f t="shared" si="15"/>
        <v>44.8</v>
      </c>
      <c r="O124" s="56">
        <f t="shared" si="16"/>
        <v>26.88</v>
      </c>
      <c r="P124" s="56">
        <f>'Lab Component'!K124</f>
        <v>19</v>
      </c>
      <c r="Q124" s="56">
        <f t="shared" si="10"/>
        <v>45.88</v>
      </c>
      <c r="R124" s="56">
        <f t="shared" si="17"/>
        <v>46</v>
      </c>
      <c r="S124" s="3">
        <v>37</v>
      </c>
    </row>
    <row r="125" spans="1:19">
      <c r="A125" s="4">
        <v>113</v>
      </c>
      <c r="B125" s="5" t="s">
        <v>250</v>
      </c>
      <c r="C125" s="13" t="s">
        <v>251</v>
      </c>
      <c r="D125" s="34">
        <v>47</v>
      </c>
      <c r="E125" s="49">
        <f t="shared" si="11"/>
        <v>28.2</v>
      </c>
      <c r="F125" s="34">
        <v>48</v>
      </c>
      <c r="G125" s="49">
        <f t="shared" si="12"/>
        <v>28.8</v>
      </c>
      <c r="H125" s="34">
        <v>50</v>
      </c>
      <c r="I125" s="49">
        <f t="shared" si="13"/>
        <v>30</v>
      </c>
      <c r="J125" s="49">
        <f t="shared" si="9"/>
        <v>29</v>
      </c>
      <c r="K125" s="58">
        <v>30</v>
      </c>
      <c r="L125" s="54">
        <f t="shared" si="14"/>
        <v>10</v>
      </c>
      <c r="M125" s="34">
        <v>10</v>
      </c>
      <c r="N125" s="56">
        <f t="shared" si="15"/>
        <v>49</v>
      </c>
      <c r="O125" s="56">
        <f t="shared" si="16"/>
        <v>29.4</v>
      </c>
      <c r="P125" s="56">
        <f>'Lab Component'!K125</f>
        <v>19</v>
      </c>
      <c r="Q125" s="56">
        <f t="shared" si="10"/>
        <v>48.4</v>
      </c>
      <c r="R125" s="56">
        <f t="shared" si="17"/>
        <v>49</v>
      </c>
      <c r="S125" s="3">
        <v>37</v>
      </c>
    </row>
    <row r="126" spans="1:19">
      <c r="A126" s="4">
        <v>114</v>
      </c>
      <c r="B126" s="5" t="s">
        <v>252</v>
      </c>
      <c r="C126" s="13" t="s">
        <v>253</v>
      </c>
      <c r="D126" s="34">
        <v>23</v>
      </c>
      <c r="E126" s="49">
        <f t="shared" si="11"/>
        <v>13.8</v>
      </c>
      <c r="F126" s="34">
        <v>30</v>
      </c>
      <c r="G126" s="49">
        <f t="shared" si="12"/>
        <v>18</v>
      </c>
      <c r="H126" s="34">
        <v>22</v>
      </c>
      <c r="I126" s="49">
        <f t="shared" si="13"/>
        <v>13.2</v>
      </c>
      <c r="J126" s="49">
        <f t="shared" si="9"/>
        <v>15</v>
      </c>
      <c r="K126" s="57">
        <v>30</v>
      </c>
      <c r="L126" s="54">
        <f t="shared" si="14"/>
        <v>10</v>
      </c>
      <c r="M126" s="34">
        <v>10</v>
      </c>
      <c r="N126" s="56">
        <f t="shared" si="15"/>
        <v>35</v>
      </c>
      <c r="O126" s="56">
        <f t="shared" si="16"/>
        <v>21</v>
      </c>
      <c r="P126" s="56">
        <f>'Lab Component'!K126</f>
        <v>18</v>
      </c>
      <c r="Q126" s="56">
        <f t="shared" si="10"/>
        <v>39</v>
      </c>
      <c r="R126" s="56">
        <f t="shared" si="17"/>
        <v>39</v>
      </c>
      <c r="S126" s="3">
        <v>37</v>
      </c>
    </row>
    <row r="127" spans="1:19">
      <c r="A127" s="4">
        <v>115</v>
      </c>
      <c r="B127" s="5" t="s">
        <v>254</v>
      </c>
      <c r="C127" s="13" t="s">
        <v>255</v>
      </c>
      <c r="D127" s="34">
        <v>50</v>
      </c>
      <c r="E127" s="49">
        <f t="shared" si="11"/>
        <v>30</v>
      </c>
      <c r="F127" s="34">
        <v>50</v>
      </c>
      <c r="G127" s="49">
        <f t="shared" si="12"/>
        <v>30</v>
      </c>
      <c r="H127" s="34">
        <v>50</v>
      </c>
      <c r="I127" s="49">
        <f t="shared" si="13"/>
        <v>30</v>
      </c>
      <c r="J127" s="49">
        <f t="shared" si="9"/>
        <v>30</v>
      </c>
      <c r="K127" s="58">
        <v>30</v>
      </c>
      <c r="L127" s="54">
        <f t="shared" si="14"/>
        <v>10</v>
      </c>
      <c r="M127" s="34">
        <v>10</v>
      </c>
      <c r="N127" s="56">
        <f t="shared" si="15"/>
        <v>50</v>
      </c>
      <c r="O127" s="56">
        <f t="shared" si="16"/>
        <v>30</v>
      </c>
      <c r="P127" s="56">
        <f>'Lab Component'!K127</f>
        <v>20</v>
      </c>
      <c r="Q127" s="56">
        <f t="shared" si="10"/>
        <v>50</v>
      </c>
      <c r="R127" s="56">
        <f t="shared" si="17"/>
        <v>50</v>
      </c>
      <c r="S127" s="3">
        <v>38</v>
      </c>
    </row>
    <row r="128" spans="1:19">
      <c r="A128" s="4">
        <v>116</v>
      </c>
      <c r="B128" s="5" t="s">
        <v>256</v>
      </c>
      <c r="C128" s="13" t="s">
        <v>257</v>
      </c>
      <c r="D128" s="34">
        <v>23</v>
      </c>
      <c r="E128" s="49">
        <f t="shared" si="11"/>
        <v>13.8</v>
      </c>
      <c r="F128" s="34">
        <v>20</v>
      </c>
      <c r="G128" s="49">
        <f t="shared" si="12"/>
        <v>12</v>
      </c>
      <c r="H128" s="34">
        <v>25</v>
      </c>
      <c r="I128" s="49">
        <f t="shared" si="13"/>
        <v>15</v>
      </c>
      <c r="J128" s="49">
        <f t="shared" si="9"/>
        <v>13.6</v>
      </c>
      <c r="K128" s="57">
        <v>30</v>
      </c>
      <c r="L128" s="54">
        <f t="shared" si="14"/>
        <v>10</v>
      </c>
      <c r="M128" s="34">
        <v>9</v>
      </c>
      <c r="N128" s="56">
        <f t="shared" si="15"/>
        <v>32.6</v>
      </c>
      <c r="O128" s="56">
        <f t="shared" si="16"/>
        <v>19.56</v>
      </c>
      <c r="P128" s="56">
        <f>'Lab Component'!K128</f>
        <v>19</v>
      </c>
      <c r="Q128" s="56">
        <f t="shared" si="10"/>
        <v>38.56</v>
      </c>
      <c r="R128" s="56">
        <f t="shared" si="17"/>
        <v>39</v>
      </c>
      <c r="S128" s="3">
        <v>36</v>
      </c>
    </row>
    <row r="129" spans="1:19">
      <c r="A129" s="4">
        <v>117</v>
      </c>
      <c r="B129" s="5" t="s">
        <v>258</v>
      </c>
      <c r="C129" s="13" t="s">
        <v>259</v>
      </c>
      <c r="D129" s="34">
        <v>47</v>
      </c>
      <c r="E129" s="49">
        <f t="shared" si="11"/>
        <v>28.2</v>
      </c>
      <c r="F129" s="34">
        <v>48</v>
      </c>
      <c r="G129" s="49">
        <f t="shared" si="12"/>
        <v>28.8</v>
      </c>
      <c r="H129" s="34">
        <v>50</v>
      </c>
      <c r="I129" s="49">
        <f t="shared" si="13"/>
        <v>30</v>
      </c>
      <c r="J129" s="49">
        <f t="shared" si="9"/>
        <v>29</v>
      </c>
      <c r="K129" s="34">
        <v>30</v>
      </c>
      <c r="L129" s="54">
        <f t="shared" si="14"/>
        <v>10</v>
      </c>
      <c r="M129" s="34">
        <v>10</v>
      </c>
      <c r="N129" s="34">
        <f t="shared" si="15"/>
        <v>49</v>
      </c>
      <c r="O129" s="56">
        <f t="shared" si="16"/>
        <v>29.4</v>
      </c>
      <c r="P129" s="56">
        <f>'Lab Component'!K129</f>
        <v>20</v>
      </c>
      <c r="Q129" s="56">
        <f t="shared" si="10"/>
        <v>49.4</v>
      </c>
      <c r="R129" s="56">
        <f t="shared" si="17"/>
        <v>50</v>
      </c>
      <c r="S129" s="3">
        <v>38</v>
      </c>
    </row>
    <row r="130" spans="1:19">
      <c r="A130" s="4">
        <v>118</v>
      </c>
      <c r="B130" s="5" t="s">
        <v>260</v>
      </c>
      <c r="C130" s="13" t="s">
        <v>261</v>
      </c>
      <c r="D130" s="34">
        <v>50</v>
      </c>
      <c r="E130" s="49">
        <f t="shared" si="11"/>
        <v>30</v>
      </c>
      <c r="F130" s="34">
        <v>50</v>
      </c>
      <c r="G130" s="49">
        <f t="shared" si="12"/>
        <v>30</v>
      </c>
      <c r="H130" s="34">
        <v>43</v>
      </c>
      <c r="I130" s="49">
        <f t="shared" si="13"/>
        <v>25.8</v>
      </c>
      <c r="J130" s="49">
        <f t="shared" si="9"/>
        <v>28.6</v>
      </c>
      <c r="K130" s="34">
        <v>30</v>
      </c>
      <c r="L130" s="54">
        <f t="shared" si="14"/>
        <v>10</v>
      </c>
      <c r="M130" s="34">
        <v>10</v>
      </c>
      <c r="N130" s="34">
        <f t="shared" si="15"/>
        <v>48.6</v>
      </c>
      <c r="O130" s="56">
        <f t="shared" si="16"/>
        <v>29.16</v>
      </c>
      <c r="P130" s="56">
        <f>'Lab Component'!K130</f>
        <v>19</v>
      </c>
      <c r="Q130" s="56">
        <f t="shared" si="10"/>
        <v>48.16</v>
      </c>
      <c r="R130" s="56">
        <f t="shared" si="17"/>
        <v>49</v>
      </c>
      <c r="S130" s="3">
        <v>37</v>
      </c>
    </row>
    <row r="131" spans="1:19">
      <c r="A131" s="4">
        <v>119</v>
      </c>
      <c r="B131" s="5" t="s">
        <v>262</v>
      </c>
      <c r="C131" s="13" t="s">
        <v>263</v>
      </c>
      <c r="D131" s="34">
        <v>47</v>
      </c>
      <c r="E131" s="49">
        <f t="shared" si="11"/>
        <v>28.2</v>
      </c>
      <c r="F131" s="34">
        <v>50</v>
      </c>
      <c r="G131" s="49">
        <f t="shared" si="12"/>
        <v>30</v>
      </c>
      <c r="H131" s="34">
        <v>50</v>
      </c>
      <c r="I131" s="49">
        <f t="shared" si="13"/>
        <v>30</v>
      </c>
      <c r="J131" s="49">
        <f t="shared" si="9"/>
        <v>29.4</v>
      </c>
      <c r="K131" s="34">
        <v>30</v>
      </c>
      <c r="L131" s="54">
        <f t="shared" si="14"/>
        <v>10</v>
      </c>
      <c r="M131" s="34">
        <v>8.5</v>
      </c>
      <c r="N131" s="56">
        <f t="shared" si="15"/>
        <v>47.9</v>
      </c>
      <c r="O131" s="56">
        <f t="shared" si="16"/>
        <v>28.74</v>
      </c>
      <c r="P131" s="56">
        <f>'Lab Component'!K131</f>
        <v>20</v>
      </c>
      <c r="Q131" s="56">
        <f t="shared" si="10"/>
        <v>48.74</v>
      </c>
      <c r="R131" s="56">
        <f t="shared" si="17"/>
        <v>49</v>
      </c>
      <c r="S131" s="3">
        <v>37</v>
      </c>
    </row>
    <row r="132" spans="1:19">
      <c r="A132" s="4">
        <v>120</v>
      </c>
      <c r="B132" s="5" t="s">
        <v>264</v>
      </c>
      <c r="C132" s="13" t="s">
        <v>265</v>
      </c>
      <c r="D132" s="34">
        <v>50</v>
      </c>
      <c r="E132" s="49">
        <f t="shared" si="11"/>
        <v>30</v>
      </c>
      <c r="F132" s="34">
        <v>50</v>
      </c>
      <c r="G132" s="49">
        <f t="shared" si="12"/>
        <v>30</v>
      </c>
      <c r="H132" s="34">
        <v>50</v>
      </c>
      <c r="I132" s="49">
        <f t="shared" si="13"/>
        <v>30</v>
      </c>
      <c r="J132" s="49">
        <f t="shared" si="9"/>
        <v>30</v>
      </c>
      <c r="K132" s="34">
        <v>30</v>
      </c>
      <c r="L132" s="54">
        <f t="shared" si="14"/>
        <v>10</v>
      </c>
      <c r="M132" s="34">
        <v>10</v>
      </c>
      <c r="N132" s="56">
        <f t="shared" si="15"/>
        <v>50</v>
      </c>
      <c r="O132" s="56">
        <f t="shared" si="16"/>
        <v>30</v>
      </c>
      <c r="P132" s="56">
        <f>'Lab Component'!K132</f>
        <v>20</v>
      </c>
      <c r="Q132" s="56">
        <f t="shared" si="10"/>
        <v>50</v>
      </c>
      <c r="R132" s="56">
        <f t="shared" si="17"/>
        <v>50</v>
      </c>
      <c r="S132" s="3">
        <v>37</v>
      </c>
    </row>
    <row r="133" spans="1:19">
      <c r="A133" s="4">
        <v>121</v>
      </c>
      <c r="B133" s="5" t="s">
        <v>266</v>
      </c>
      <c r="C133" s="13" t="s">
        <v>267</v>
      </c>
      <c r="D133" s="34">
        <v>44</v>
      </c>
      <c r="E133" s="49">
        <f t="shared" si="11"/>
        <v>26.4</v>
      </c>
      <c r="F133" s="34">
        <v>42</v>
      </c>
      <c r="G133" s="49">
        <f t="shared" si="12"/>
        <v>25.2</v>
      </c>
      <c r="H133" s="34">
        <v>44</v>
      </c>
      <c r="I133" s="49">
        <f t="shared" si="13"/>
        <v>26.4</v>
      </c>
      <c r="J133" s="49">
        <f t="shared" si="9"/>
        <v>26</v>
      </c>
      <c r="K133" s="34">
        <v>30</v>
      </c>
      <c r="L133" s="54">
        <f t="shared" si="14"/>
        <v>10</v>
      </c>
      <c r="M133" s="34">
        <v>9.5</v>
      </c>
      <c r="N133" s="56">
        <f t="shared" si="15"/>
        <v>45.5</v>
      </c>
      <c r="O133" s="56">
        <f t="shared" si="16"/>
        <v>27.3</v>
      </c>
      <c r="P133" s="56">
        <f>'Lab Component'!K133</f>
        <v>19</v>
      </c>
      <c r="Q133" s="56">
        <f t="shared" si="10"/>
        <v>46.3</v>
      </c>
      <c r="R133" s="56">
        <f t="shared" si="17"/>
        <v>47</v>
      </c>
      <c r="S133" s="3">
        <v>38</v>
      </c>
    </row>
    <row r="134" spans="1:19">
      <c r="A134" s="4">
        <v>122</v>
      </c>
      <c r="B134" s="5" t="s">
        <v>268</v>
      </c>
      <c r="C134" s="13" t="s">
        <v>269</v>
      </c>
      <c r="D134" s="34">
        <v>41</v>
      </c>
      <c r="E134" s="49">
        <f t="shared" si="11"/>
        <v>24.6</v>
      </c>
      <c r="F134" s="34">
        <v>43</v>
      </c>
      <c r="G134" s="49">
        <f t="shared" si="12"/>
        <v>25.8</v>
      </c>
      <c r="H134" s="34">
        <v>40</v>
      </c>
      <c r="I134" s="49">
        <f t="shared" si="13"/>
        <v>24</v>
      </c>
      <c r="J134" s="49">
        <f t="shared" si="9"/>
        <v>24.8</v>
      </c>
      <c r="K134" s="34">
        <v>30</v>
      </c>
      <c r="L134" s="54">
        <f t="shared" si="14"/>
        <v>10</v>
      </c>
      <c r="M134" s="34">
        <v>9.5</v>
      </c>
      <c r="N134" s="56">
        <f t="shared" si="15"/>
        <v>44.3</v>
      </c>
      <c r="O134" s="56">
        <f t="shared" si="16"/>
        <v>26.58</v>
      </c>
      <c r="P134" s="56">
        <f>'Lab Component'!K134</f>
        <v>20</v>
      </c>
      <c r="Q134" s="56">
        <f t="shared" si="10"/>
        <v>46.58</v>
      </c>
      <c r="R134" s="56">
        <f t="shared" si="17"/>
        <v>47</v>
      </c>
      <c r="S134" s="3">
        <v>36</v>
      </c>
    </row>
    <row r="135" spans="1:19">
      <c r="A135" s="4">
        <v>123</v>
      </c>
      <c r="B135" s="5" t="s">
        <v>270</v>
      </c>
      <c r="C135" s="13" t="s">
        <v>271</v>
      </c>
      <c r="D135" s="34">
        <v>41</v>
      </c>
      <c r="E135" s="49">
        <f t="shared" si="11"/>
        <v>24.6</v>
      </c>
      <c r="F135" s="34">
        <v>42</v>
      </c>
      <c r="G135" s="49">
        <f t="shared" si="12"/>
        <v>25.2</v>
      </c>
      <c r="H135" s="34">
        <v>47</v>
      </c>
      <c r="I135" s="49">
        <f t="shared" si="13"/>
        <v>28.2</v>
      </c>
      <c r="J135" s="49">
        <f t="shared" si="9"/>
        <v>26</v>
      </c>
      <c r="K135" s="34">
        <v>30</v>
      </c>
      <c r="L135" s="54">
        <f t="shared" si="14"/>
        <v>10</v>
      </c>
      <c r="M135" s="34">
        <v>10</v>
      </c>
      <c r="N135" s="56">
        <f t="shared" si="15"/>
        <v>46</v>
      </c>
      <c r="O135" s="56">
        <f t="shared" si="16"/>
        <v>27.6</v>
      </c>
      <c r="P135" s="56">
        <f>'Lab Component'!K135</f>
        <v>19</v>
      </c>
      <c r="Q135" s="56">
        <f t="shared" si="10"/>
        <v>46.6</v>
      </c>
      <c r="R135" s="56">
        <f t="shared" si="17"/>
        <v>47</v>
      </c>
      <c r="S135" s="3">
        <v>35</v>
      </c>
    </row>
    <row r="136" spans="1:19">
      <c r="A136" s="4">
        <v>124</v>
      </c>
      <c r="B136" s="5" t="s">
        <v>272</v>
      </c>
      <c r="C136" s="13" t="s">
        <v>273</v>
      </c>
      <c r="D136" s="34">
        <v>50</v>
      </c>
      <c r="E136" s="49">
        <f t="shared" si="11"/>
        <v>30</v>
      </c>
      <c r="F136" s="34">
        <v>48</v>
      </c>
      <c r="G136" s="49">
        <f t="shared" si="12"/>
        <v>28.8</v>
      </c>
      <c r="H136" s="34">
        <v>50</v>
      </c>
      <c r="I136" s="49">
        <f t="shared" si="13"/>
        <v>30</v>
      </c>
      <c r="J136" s="49">
        <f t="shared" si="9"/>
        <v>29.6</v>
      </c>
      <c r="K136" s="34">
        <v>30</v>
      </c>
      <c r="L136" s="54">
        <f t="shared" si="14"/>
        <v>10</v>
      </c>
      <c r="M136" s="34">
        <v>9</v>
      </c>
      <c r="N136" s="56">
        <f t="shared" si="15"/>
        <v>48.6</v>
      </c>
      <c r="O136" s="56">
        <f t="shared" si="16"/>
        <v>29.16</v>
      </c>
      <c r="P136" s="56">
        <f>'Lab Component'!K136</f>
        <v>20</v>
      </c>
      <c r="Q136" s="56">
        <f t="shared" si="10"/>
        <v>49.16</v>
      </c>
      <c r="R136" s="56">
        <f t="shared" si="17"/>
        <v>50</v>
      </c>
      <c r="S136" s="3">
        <v>38</v>
      </c>
    </row>
    <row r="137" spans="1:19">
      <c r="A137" s="4">
        <v>125</v>
      </c>
      <c r="B137" s="5" t="s">
        <v>274</v>
      </c>
      <c r="C137" s="13" t="s">
        <v>275</v>
      </c>
      <c r="D137" s="34">
        <v>41</v>
      </c>
      <c r="E137" s="49">
        <f t="shared" si="11"/>
        <v>24.6</v>
      </c>
      <c r="F137" s="34">
        <v>39</v>
      </c>
      <c r="G137" s="49">
        <f t="shared" si="12"/>
        <v>23.4</v>
      </c>
      <c r="H137" s="34">
        <v>31</v>
      </c>
      <c r="I137" s="49">
        <f t="shared" si="13"/>
        <v>18.6</v>
      </c>
      <c r="J137" s="49">
        <f t="shared" si="9"/>
        <v>22.2</v>
      </c>
      <c r="K137" s="34">
        <v>30</v>
      </c>
      <c r="L137" s="54">
        <f t="shared" si="14"/>
        <v>10</v>
      </c>
      <c r="M137" s="34">
        <v>8.5</v>
      </c>
      <c r="N137" s="56">
        <f t="shared" si="15"/>
        <v>40.7</v>
      </c>
      <c r="O137" s="56">
        <f t="shared" si="16"/>
        <v>24.42</v>
      </c>
      <c r="P137" s="56">
        <f>'Lab Component'!K137</f>
        <v>12</v>
      </c>
      <c r="Q137" s="56">
        <f t="shared" si="10"/>
        <v>36.42</v>
      </c>
      <c r="R137" s="56">
        <f t="shared" si="17"/>
        <v>37</v>
      </c>
      <c r="S137" s="3">
        <v>37</v>
      </c>
    </row>
    <row r="138" spans="1:19">
      <c r="A138" s="4">
        <v>126</v>
      </c>
      <c r="B138" s="5" t="s">
        <v>276</v>
      </c>
      <c r="C138" s="13" t="s">
        <v>277</v>
      </c>
      <c r="D138" s="34">
        <v>40</v>
      </c>
      <c r="E138" s="49">
        <f t="shared" si="11"/>
        <v>24</v>
      </c>
      <c r="F138" s="34">
        <v>50</v>
      </c>
      <c r="G138" s="49">
        <f t="shared" si="12"/>
        <v>30</v>
      </c>
      <c r="H138" s="34">
        <v>40</v>
      </c>
      <c r="I138" s="49">
        <f t="shared" si="13"/>
        <v>24</v>
      </c>
      <c r="J138" s="49">
        <f t="shared" si="9"/>
        <v>26</v>
      </c>
      <c r="K138" s="34">
        <v>30</v>
      </c>
      <c r="L138" s="54">
        <f t="shared" si="14"/>
        <v>10</v>
      </c>
      <c r="M138" s="34">
        <v>10</v>
      </c>
      <c r="N138" s="34">
        <f t="shared" si="15"/>
        <v>46</v>
      </c>
      <c r="O138" s="56">
        <f t="shared" si="16"/>
        <v>27.6</v>
      </c>
      <c r="P138" s="56">
        <f>'Lab Component'!K138</f>
        <v>19</v>
      </c>
      <c r="Q138" s="56">
        <f t="shared" si="10"/>
        <v>46.6</v>
      </c>
      <c r="R138" s="56">
        <f t="shared" si="17"/>
        <v>47</v>
      </c>
      <c r="S138" s="3">
        <v>38</v>
      </c>
    </row>
    <row r="139" spans="1:19">
      <c r="A139" s="4">
        <v>127</v>
      </c>
      <c r="B139" s="5" t="s">
        <v>278</v>
      </c>
      <c r="C139" s="13" t="s">
        <v>279</v>
      </c>
      <c r="D139" s="34">
        <v>45</v>
      </c>
      <c r="E139" s="49">
        <f t="shared" si="11"/>
        <v>27</v>
      </c>
      <c r="F139" s="34">
        <v>26</v>
      </c>
      <c r="G139" s="49">
        <f t="shared" si="12"/>
        <v>15.6</v>
      </c>
      <c r="H139" s="34">
        <v>37</v>
      </c>
      <c r="I139" s="49">
        <f t="shared" si="13"/>
        <v>22.2</v>
      </c>
      <c r="J139" s="49">
        <f t="shared" si="9"/>
        <v>21.6</v>
      </c>
      <c r="K139" s="57">
        <v>30</v>
      </c>
      <c r="L139" s="54">
        <f t="shared" si="14"/>
        <v>10</v>
      </c>
      <c r="M139" s="34">
        <v>10</v>
      </c>
      <c r="N139" s="34">
        <f t="shared" si="15"/>
        <v>41.6</v>
      </c>
      <c r="O139" s="56">
        <f t="shared" si="16"/>
        <v>24.96</v>
      </c>
      <c r="P139" s="56">
        <f>'Lab Component'!K139</f>
        <v>19</v>
      </c>
      <c r="Q139" s="56">
        <f t="shared" si="10"/>
        <v>43.96</v>
      </c>
      <c r="R139" s="56">
        <f t="shared" si="17"/>
        <v>44</v>
      </c>
      <c r="S139" s="3">
        <v>38</v>
      </c>
    </row>
    <row r="140" spans="1:21">
      <c r="A140" s="4">
        <v>128</v>
      </c>
      <c r="B140" s="5" t="s">
        <v>280</v>
      </c>
      <c r="C140" s="13" t="s">
        <v>281</v>
      </c>
      <c r="D140" s="34">
        <v>35</v>
      </c>
      <c r="E140" s="49">
        <f t="shared" si="11"/>
        <v>21</v>
      </c>
      <c r="F140" s="34">
        <v>42</v>
      </c>
      <c r="G140" s="49">
        <f t="shared" si="12"/>
        <v>25.2</v>
      </c>
      <c r="H140" s="34">
        <v>36</v>
      </c>
      <c r="I140" s="49">
        <f t="shared" si="13"/>
        <v>21.6</v>
      </c>
      <c r="J140" s="49">
        <f t="shared" si="9"/>
        <v>22.6</v>
      </c>
      <c r="K140" s="34">
        <v>30</v>
      </c>
      <c r="L140" s="54">
        <f t="shared" si="14"/>
        <v>10</v>
      </c>
      <c r="M140" s="34">
        <v>9</v>
      </c>
      <c r="N140" s="56">
        <f t="shared" si="15"/>
        <v>41.6</v>
      </c>
      <c r="O140" s="56">
        <f t="shared" si="16"/>
        <v>24.96</v>
      </c>
      <c r="P140" s="56">
        <f>'Lab Component'!K140</f>
        <v>19</v>
      </c>
      <c r="Q140" s="56">
        <f t="shared" si="10"/>
        <v>43.96</v>
      </c>
      <c r="R140" s="56">
        <f t="shared" si="17"/>
        <v>44</v>
      </c>
      <c r="S140" s="3">
        <v>36</v>
      </c>
      <c r="T140" s="60">
        <v>11</v>
      </c>
      <c r="U140">
        <f>SUM(S140:T140)</f>
        <v>47</v>
      </c>
    </row>
    <row r="141" spans="1:21">
      <c r="A141" s="4">
        <v>129</v>
      </c>
      <c r="B141" s="5" t="s">
        <v>282</v>
      </c>
      <c r="C141" s="13" t="s">
        <v>283</v>
      </c>
      <c r="D141" s="34">
        <v>44</v>
      </c>
      <c r="E141" s="49">
        <f t="shared" si="11"/>
        <v>26.4</v>
      </c>
      <c r="F141" s="34">
        <v>47</v>
      </c>
      <c r="G141" s="49">
        <f t="shared" si="12"/>
        <v>28.2</v>
      </c>
      <c r="H141" s="34">
        <v>48</v>
      </c>
      <c r="I141" s="49">
        <f t="shared" si="13"/>
        <v>28.8</v>
      </c>
      <c r="J141" s="49">
        <f t="shared" ref="J141:J204" si="18">((E141+G141+I141)/3)</f>
        <v>27.8</v>
      </c>
      <c r="K141" s="34">
        <v>30</v>
      </c>
      <c r="L141" s="54">
        <f t="shared" si="14"/>
        <v>10</v>
      </c>
      <c r="M141" s="34">
        <v>10</v>
      </c>
      <c r="N141" s="56">
        <f t="shared" si="15"/>
        <v>47.8</v>
      </c>
      <c r="O141" s="56">
        <f t="shared" si="16"/>
        <v>28.68</v>
      </c>
      <c r="P141" s="56">
        <f>'Lab Component'!K141</f>
        <v>20</v>
      </c>
      <c r="Q141" s="56">
        <f t="shared" ref="Q141:Q204" si="19">(O141+P141)</f>
        <v>48.68</v>
      </c>
      <c r="R141" s="56">
        <f t="shared" si="17"/>
        <v>49</v>
      </c>
      <c r="S141" s="3">
        <v>36</v>
      </c>
      <c r="T141" s="60">
        <v>11</v>
      </c>
      <c r="U141">
        <f t="shared" ref="U141:U172" si="20">SUM(S141:T141)</f>
        <v>47</v>
      </c>
    </row>
    <row r="142" ht="30" spans="1:21">
      <c r="A142" s="4">
        <v>130</v>
      </c>
      <c r="B142" s="5" t="s">
        <v>284</v>
      </c>
      <c r="C142" s="13" t="s">
        <v>285</v>
      </c>
      <c r="D142" s="34">
        <v>38</v>
      </c>
      <c r="E142" s="49">
        <f t="shared" ref="E142:E205" si="21">((D142*30)/50)</f>
        <v>22.8</v>
      </c>
      <c r="F142" s="34">
        <v>36</v>
      </c>
      <c r="G142" s="49">
        <f t="shared" ref="G142:G205" si="22">((F142*30)/50)</f>
        <v>21.6</v>
      </c>
      <c r="H142" s="34">
        <v>42</v>
      </c>
      <c r="I142" s="49">
        <f t="shared" ref="I142:I205" si="23">((H142*30)/50)</f>
        <v>25.2</v>
      </c>
      <c r="J142" s="49">
        <f t="shared" si="18"/>
        <v>23.2</v>
      </c>
      <c r="K142" s="34">
        <v>30</v>
      </c>
      <c r="L142" s="54">
        <f t="shared" ref="L142:L205" si="24">((K142*10)/30)</f>
        <v>10</v>
      </c>
      <c r="M142" s="34">
        <v>8</v>
      </c>
      <c r="N142" s="56">
        <f t="shared" ref="N142:N205" si="25">SUM(J142,L142,M142)</f>
        <v>41.2</v>
      </c>
      <c r="O142" s="56">
        <f t="shared" ref="O142:O205" si="26">(N142/50)*30</f>
        <v>24.72</v>
      </c>
      <c r="P142" s="56">
        <f>'Lab Component'!K142</f>
        <v>19</v>
      </c>
      <c r="Q142" s="56">
        <f t="shared" si="19"/>
        <v>43.72</v>
      </c>
      <c r="R142" s="56">
        <f t="shared" ref="R142:R205" si="27">ROUNDUP(Q142,0)</f>
        <v>44</v>
      </c>
      <c r="S142" s="3">
        <v>36</v>
      </c>
      <c r="T142" s="60">
        <v>11</v>
      </c>
      <c r="U142">
        <f t="shared" si="20"/>
        <v>47</v>
      </c>
    </row>
    <row r="143" spans="1:21">
      <c r="A143" s="4">
        <v>131</v>
      </c>
      <c r="B143" s="5" t="s">
        <v>286</v>
      </c>
      <c r="C143" s="13" t="s">
        <v>287</v>
      </c>
      <c r="D143" s="34">
        <v>29</v>
      </c>
      <c r="E143" s="49">
        <f t="shared" si="21"/>
        <v>17.4</v>
      </c>
      <c r="F143" s="34">
        <v>0</v>
      </c>
      <c r="G143" s="49">
        <f t="shared" si="22"/>
        <v>0</v>
      </c>
      <c r="H143" s="34">
        <v>47</v>
      </c>
      <c r="I143" s="49">
        <f t="shared" si="23"/>
        <v>28.2</v>
      </c>
      <c r="J143" s="49">
        <f t="shared" si="18"/>
        <v>15.2</v>
      </c>
      <c r="K143" s="34">
        <v>30</v>
      </c>
      <c r="L143" s="54">
        <f t="shared" si="24"/>
        <v>10</v>
      </c>
      <c r="M143" s="34">
        <v>8</v>
      </c>
      <c r="N143" s="56">
        <f t="shared" si="25"/>
        <v>33.2</v>
      </c>
      <c r="O143" s="56">
        <f t="shared" si="26"/>
        <v>19.92</v>
      </c>
      <c r="P143" s="56">
        <f>'Lab Component'!K143</f>
        <v>18</v>
      </c>
      <c r="Q143" s="56">
        <f t="shared" si="19"/>
        <v>37.92</v>
      </c>
      <c r="R143" s="56">
        <f t="shared" si="27"/>
        <v>38</v>
      </c>
      <c r="S143" s="3">
        <v>36</v>
      </c>
      <c r="T143" s="60">
        <v>11</v>
      </c>
      <c r="U143">
        <f t="shared" si="20"/>
        <v>47</v>
      </c>
    </row>
    <row r="144" spans="1:21">
      <c r="A144" s="4">
        <v>132</v>
      </c>
      <c r="B144" s="5" t="s">
        <v>288</v>
      </c>
      <c r="C144" s="13" t="s">
        <v>289</v>
      </c>
      <c r="D144" s="34">
        <v>43</v>
      </c>
      <c r="E144" s="49">
        <f t="shared" si="21"/>
        <v>25.8</v>
      </c>
      <c r="F144" s="34">
        <v>44</v>
      </c>
      <c r="G144" s="49">
        <f t="shared" si="22"/>
        <v>26.4</v>
      </c>
      <c r="H144" s="34">
        <v>38</v>
      </c>
      <c r="I144" s="49">
        <f t="shared" si="23"/>
        <v>22.8</v>
      </c>
      <c r="J144" s="49">
        <f t="shared" si="18"/>
        <v>25</v>
      </c>
      <c r="K144" s="34">
        <v>30</v>
      </c>
      <c r="L144" s="54">
        <f t="shared" si="24"/>
        <v>10</v>
      </c>
      <c r="M144" s="34">
        <v>8</v>
      </c>
      <c r="N144" s="56">
        <f t="shared" si="25"/>
        <v>43</v>
      </c>
      <c r="O144" s="56">
        <f t="shared" si="26"/>
        <v>25.8</v>
      </c>
      <c r="P144" s="56">
        <f>'Lab Component'!K144</f>
        <v>20</v>
      </c>
      <c r="Q144" s="56">
        <f t="shared" si="19"/>
        <v>45.8</v>
      </c>
      <c r="R144" s="56">
        <f t="shared" si="27"/>
        <v>46</v>
      </c>
      <c r="S144" s="3">
        <v>36</v>
      </c>
      <c r="T144" s="60">
        <v>11</v>
      </c>
      <c r="U144">
        <f t="shared" si="20"/>
        <v>47</v>
      </c>
    </row>
    <row r="145" spans="1:21">
      <c r="A145" s="4">
        <v>133</v>
      </c>
      <c r="B145" s="5" t="s">
        <v>290</v>
      </c>
      <c r="C145" s="13" t="s">
        <v>291</v>
      </c>
      <c r="D145" s="34">
        <v>0</v>
      </c>
      <c r="E145" s="49">
        <f t="shared" si="21"/>
        <v>0</v>
      </c>
      <c r="F145" s="34">
        <v>29</v>
      </c>
      <c r="G145" s="49">
        <f t="shared" si="22"/>
        <v>17.4</v>
      </c>
      <c r="H145" s="34">
        <v>0</v>
      </c>
      <c r="I145" s="49">
        <f t="shared" si="23"/>
        <v>0</v>
      </c>
      <c r="J145" s="49">
        <f t="shared" si="18"/>
        <v>5.8</v>
      </c>
      <c r="K145" s="34">
        <v>0</v>
      </c>
      <c r="L145" s="54">
        <f t="shared" si="24"/>
        <v>0</v>
      </c>
      <c r="M145" s="34">
        <v>0</v>
      </c>
      <c r="N145" s="56">
        <f t="shared" si="25"/>
        <v>5.8</v>
      </c>
      <c r="O145" s="56">
        <f t="shared" si="26"/>
        <v>3.48</v>
      </c>
      <c r="P145" s="56">
        <f>'Lab Component'!K145</f>
        <v>0</v>
      </c>
      <c r="Q145" s="56">
        <f t="shared" si="19"/>
        <v>3.48</v>
      </c>
      <c r="R145" s="56">
        <f t="shared" si="27"/>
        <v>4</v>
      </c>
      <c r="S145" s="3">
        <v>0</v>
      </c>
      <c r="T145" s="60">
        <v>0</v>
      </c>
      <c r="U145">
        <f t="shared" si="20"/>
        <v>0</v>
      </c>
    </row>
    <row r="146" ht="30" spans="1:21">
      <c r="A146" s="4">
        <v>134</v>
      </c>
      <c r="B146" s="5" t="s">
        <v>292</v>
      </c>
      <c r="C146" s="13" t="s">
        <v>293</v>
      </c>
      <c r="D146" s="34">
        <v>21</v>
      </c>
      <c r="E146" s="49">
        <f t="shared" si="21"/>
        <v>12.6</v>
      </c>
      <c r="F146" s="34">
        <v>0</v>
      </c>
      <c r="G146" s="49">
        <f t="shared" si="22"/>
        <v>0</v>
      </c>
      <c r="H146" s="34">
        <v>47</v>
      </c>
      <c r="I146" s="49">
        <f t="shared" si="23"/>
        <v>28.2</v>
      </c>
      <c r="J146" s="49">
        <f t="shared" si="18"/>
        <v>13.6</v>
      </c>
      <c r="K146" s="34">
        <v>30</v>
      </c>
      <c r="L146" s="54">
        <f t="shared" si="24"/>
        <v>10</v>
      </c>
      <c r="M146" s="34">
        <v>8</v>
      </c>
      <c r="N146" s="56">
        <f t="shared" si="25"/>
        <v>31.6</v>
      </c>
      <c r="O146" s="56">
        <f t="shared" si="26"/>
        <v>18.96</v>
      </c>
      <c r="P146" s="56">
        <f>'Lab Component'!K146</f>
        <v>18</v>
      </c>
      <c r="Q146" s="56">
        <f t="shared" si="19"/>
        <v>36.96</v>
      </c>
      <c r="R146" s="56">
        <f t="shared" si="27"/>
        <v>37</v>
      </c>
      <c r="S146" s="3">
        <v>36</v>
      </c>
      <c r="T146" s="60">
        <v>11</v>
      </c>
      <c r="U146">
        <f t="shared" si="20"/>
        <v>47</v>
      </c>
    </row>
    <row r="147" spans="1:21">
      <c r="A147" s="4" t="s">
        <v>294</v>
      </c>
      <c r="B147" s="5" t="s">
        <v>295</v>
      </c>
      <c r="C147" s="13" t="s">
        <v>296</v>
      </c>
      <c r="D147" s="34">
        <v>34</v>
      </c>
      <c r="E147" s="49">
        <f t="shared" si="21"/>
        <v>20.4</v>
      </c>
      <c r="F147" s="34">
        <v>30</v>
      </c>
      <c r="G147" s="49">
        <f t="shared" si="22"/>
        <v>18</v>
      </c>
      <c r="H147" s="34">
        <v>37</v>
      </c>
      <c r="I147" s="49">
        <f t="shared" si="23"/>
        <v>22.2</v>
      </c>
      <c r="J147" s="49">
        <f t="shared" si="18"/>
        <v>20.2</v>
      </c>
      <c r="K147" s="34">
        <v>30</v>
      </c>
      <c r="L147" s="54">
        <f t="shared" si="24"/>
        <v>10</v>
      </c>
      <c r="M147" s="34">
        <v>8</v>
      </c>
      <c r="N147" s="34">
        <f t="shared" si="25"/>
        <v>38.2</v>
      </c>
      <c r="O147" s="56">
        <f t="shared" si="26"/>
        <v>22.92</v>
      </c>
      <c r="P147" s="56">
        <f>'Lab Component'!K147</f>
        <v>19</v>
      </c>
      <c r="Q147" s="56">
        <f t="shared" si="19"/>
        <v>41.92</v>
      </c>
      <c r="R147" s="56">
        <f t="shared" si="27"/>
        <v>42</v>
      </c>
      <c r="S147" s="3">
        <v>37</v>
      </c>
      <c r="T147" s="60">
        <v>11</v>
      </c>
      <c r="U147">
        <f t="shared" si="20"/>
        <v>48</v>
      </c>
    </row>
    <row r="148" spans="1:21">
      <c r="A148" s="4">
        <v>136</v>
      </c>
      <c r="B148" s="5" t="s">
        <v>297</v>
      </c>
      <c r="C148" s="13" t="s">
        <v>298</v>
      </c>
      <c r="D148" s="34">
        <v>40</v>
      </c>
      <c r="E148" s="49">
        <f t="shared" si="21"/>
        <v>24</v>
      </c>
      <c r="F148" s="34">
        <v>40</v>
      </c>
      <c r="G148" s="49">
        <f t="shared" si="22"/>
        <v>24</v>
      </c>
      <c r="H148" s="34">
        <v>38</v>
      </c>
      <c r="I148" s="49">
        <f t="shared" si="23"/>
        <v>22.8</v>
      </c>
      <c r="J148" s="49">
        <f t="shared" si="18"/>
        <v>23.6</v>
      </c>
      <c r="K148" s="34">
        <v>30</v>
      </c>
      <c r="L148" s="54">
        <f t="shared" si="24"/>
        <v>10</v>
      </c>
      <c r="M148" s="34">
        <v>9</v>
      </c>
      <c r="N148" s="34">
        <f t="shared" si="25"/>
        <v>42.6</v>
      </c>
      <c r="O148" s="56">
        <f t="shared" si="26"/>
        <v>25.56</v>
      </c>
      <c r="P148" s="56">
        <f>'Lab Component'!K148</f>
        <v>19</v>
      </c>
      <c r="Q148" s="56">
        <f t="shared" si="19"/>
        <v>44.56</v>
      </c>
      <c r="R148" s="56">
        <f t="shared" si="27"/>
        <v>45</v>
      </c>
      <c r="S148" s="3">
        <v>36</v>
      </c>
      <c r="T148" s="60">
        <v>11</v>
      </c>
      <c r="U148">
        <f t="shared" si="20"/>
        <v>47</v>
      </c>
    </row>
    <row r="149" spans="1:21">
      <c r="A149" s="4">
        <v>137</v>
      </c>
      <c r="B149" s="5" t="s">
        <v>299</v>
      </c>
      <c r="C149" s="13" t="s">
        <v>300</v>
      </c>
      <c r="D149" s="34">
        <v>46</v>
      </c>
      <c r="E149" s="49">
        <f t="shared" si="21"/>
        <v>27.6</v>
      </c>
      <c r="F149" s="34">
        <v>42</v>
      </c>
      <c r="G149" s="49">
        <f t="shared" si="22"/>
        <v>25.2</v>
      </c>
      <c r="H149" s="34">
        <v>46</v>
      </c>
      <c r="I149" s="49">
        <f t="shared" si="23"/>
        <v>27.6</v>
      </c>
      <c r="J149" s="49">
        <f t="shared" si="18"/>
        <v>26.8</v>
      </c>
      <c r="K149" s="34">
        <v>30</v>
      </c>
      <c r="L149" s="54">
        <f t="shared" si="24"/>
        <v>10</v>
      </c>
      <c r="M149" s="34">
        <v>10</v>
      </c>
      <c r="N149" s="56">
        <f t="shared" si="25"/>
        <v>46.8</v>
      </c>
      <c r="O149" s="56">
        <f t="shared" si="26"/>
        <v>28.08</v>
      </c>
      <c r="P149" s="56">
        <f>'Lab Component'!K149</f>
        <v>20</v>
      </c>
      <c r="Q149" s="56">
        <f t="shared" si="19"/>
        <v>48.08</v>
      </c>
      <c r="R149" s="56">
        <f t="shared" si="27"/>
        <v>49</v>
      </c>
      <c r="S149" s="3">
        <v>37</v>
      </c>
      <c r="T149" s="60">
        <v>11</v>
      </c>
      <c r="U149">
        <f t="shared" si="20"/>
        <v>48</v>
      </c>
    </row>
    <row r="150" spans="1:21">
      <c r="A150" s="4">
        <v>138</v>
      </c>
      <c r="B150" s="5" t="s">
        <v>301</v>
      </c>
      <c r="C150" s="13" t="s">
        <v>302</v>
      </c>
      <c r="D150" s="34">
        <v>42</v>
      </c>
      <c r="E150" s="49">
        <f t="shared" si="21"/>
        <v>25.2</v>
      </c>
      <c r="F150" s="34">
        <v>46</v>
      </c>
      <c r="G150" s="49">
        <f t="shared" si="22"/>
        <v>27.6</v>
      </c>
      <c r="H150" s="34">
        <v>39</v>
      </c>
      <c r="I150" s="49">
        <f t="shared" si="23"/>
        <v>23.4</v>
      </c>
      <c r="J150" s="49">
        <f t="shared" si="18"/>
        <v>25.4</v>
      </c>
      <c r="K150" s="34">
        <v>30</v>
      </c>
      <c r="L150" s="54">
        <f t="shared" si="24"/>
        <v>10</v>
      </c>
      <c r="M150" s="34">
        <v>10</v>
      </c>
      <c r="N150" s="56">
        <f t="shared" si="25"/>
        <v>45.4</v>
      </c>
      <c r="O150" s="56">
        <f t="shared" si="26"/>
        <v>27.24</v>
      </c>
      <c r="P150" s="56">
        <f>'Lab Component'!K150</f>
        <v>20</v>
      </c>
      <c r="Q150" s="56">
        <f t="shared" si="19"/>
        <v>47.24</v>
      </c>
      <c r="R150" s="56">
        <f t="shared" si="27"/>
        <v>48</v>
      </c>
      <c r="S150" s="3">
        <v>38</v>
      </c>
      <c r="T150" s="60">
        <v>12</v>
      </c>
      <c r="U150">
        <f t="shared" si="20"/>
        <v>50</v>
      </c>
    </row>
    <row r="151" spans="1:21">
      <c r="A151" s="4">
        <v>139</v>
      </c>
      <c r="B151" s="5" t="s">
        <v>303</v>
      </c>
      <c r="C151" s="13" t="s">
        <v>304</v>
      </c>
      <c r="D151" s="34">
        <v>34</v>
      </c>
      <c r="E151" s="49">
        <f t="shared" si="21"/>
        <v>20.4</v>
      </c>
      <c r="F151" s="34">
        <v>40</v>
      </c>
      <c r="G151" s="49">
        <f t="shared" si="22"/>
        <v>24</v>
      </c>
      <c r="H151" s="34">
        <v>42</v>
      </c>
      <c r="I151" s="49">
        <f t="shared" si="23"/>
        <v>25.2</v>
      </c>
      <c r="J151" s="49">
        <f t="shared" si="18"/>
        <v>23.2</v>
      </c>
      <c r="K151" s="34">
        <v>30</v>
      </c>
      <c r="L151" s="54">
        <f t="shared" si="24"/>
        <v>10</v>
      </c>
      <c r="M151" s="34">
        <v>8</v>
      </c>
      <c r="N151" s="56">
        <f t="shared" si="25"/>
        <v>41.2</v>
      </c>
      <c r="O151" s="56">
        <f t="shared" si="26"/>
        <v>24.72</v>
      </c>
      <c r="P151" s="56">
        <f>'Lab Component'!K151</f>
        <v>18</v>
      </c>
      <c r="Q151" s="56">
        <f t="shared" si="19"/>
        <v>42.72</v>
      </c>
      <c r="R151" s="56">
        <f t="shared" si="27"/>
        <v>43</v>
      </c>
      <c r="S151" s="3">
        <v>40</v>
      </c>
      <c r="T151" s="60">
        <v>11</v>
      </c>
      <c r="U151">
        <f t="shared" si="20"/>
        <v>51</v>
      </c>
    </row>
    <row r="152" spans="1:21">
      <c r="A152" s="4">
        <v>140</v>
      </c>
      <c r="B152" s="5" t="s">
        <v>305</v>
      </c>
      <c r="C152" s="13" t="s">
        <v>306</v>
      </c>
      <c r="D152" s="34">
        <v>42</v>
      </c>
      <c r="E152" s="49">
        <f t="shared" si="21"/>
        <v>25.2</v>
      </c>
      <c r="F152" s="34">
        <v>50</v>
      </c>
      <c r="G152" s="49">
        <f t="shared" si="22"/>
        <v>30</v>
      </c>
      <c r="H152" s="34">
        <v>47</v>
      </c>
      <c r="I152" s="49">
        <f t="shared" si="23"/>
        <v>28.2</v>
      </c>
      <c r="J152" s="49">
        <f t="shared" si="18"/>
        <v>27.8</v>
      </c>
      <c r="K152" s="34">
        <v>30</v>
      </c>
      <c r="L152" s="54">
        <f t="shared" si="24"/>
        <v>10</v>
      </c>
      <c r="M152" s="34">
        <v>10</v>
      </c>
      <c r="N152" s="56">
        <f t="shared" si="25"/>
        <v>47.8</v>
      </c>
      <c r="O152" s="56">
        <f t="shared" si="26"/>
        <v>28.68</v>
      </c>
      <c r="P152" s="56">
        <f>'Lab Component'!K152</f>
        <v>19</v>
      </c>
      <c r="Q152" s="56">
        <f t="shared" si="19"/>
        <v>47.68</v>
      </c>
      <c r="R152" s="56">
        <f t="shared" si="27"/>
        <v>48</v>
      </c>
      <c r="S152" s="3">
        <v>39</v>
      </c>
      <c r="T152" s="60">
        <v>11</v>
      </c>
      <c r="U152">
        <f t="shared" si="20"/>
        <v>50</v>
      </c>
    </row>
    <row r="153" spans="1:21">
      <c r="A153" s="4">
        <v>141</v>
      </c>
      <c r="B153" s="5" t="s">
        <v>307</v>
      </c>
      <c r="C153" s="13" t="s">
        <v>308</v>
      </c>
      <c r="D153" s="34">
        <v>48</v>
      </c>
      <c r="E153" s="49">
        <f t="shared" si="21"/>
        <v>28.8</v>
      </c>
      <c r="F153" s="34">
        <v>50</v>
      </c>
      <c r="G153" s="49">
        <f t="shared" si="22"/>
        <v>30</v>
      </c>
      <c r="H153" s="34">
        <v>47</v>
      </c>
      <c r="I153" s="49">
        <f t="shared" si="23"/>
        <v>28.2</v>
      </c>
      <c r="J153" s="49">
        <f t="shared" si="18"/>
        <v>29</v>
      </c>
      <c r="K153" s="34">
        <v>30</v>
      </c>
      <c r="L153" s="54">
        <f t="shared" si="24"/>
        <v>10</v>
      </c>
      <c r="M153" s="34">
        <v>10</v>
      </c>
      <c r="N153" s="56">
        <f t="shared" si="25"/>
        <v>49</v>
      </c>
      <c r="O153" s="56">
        <f t="shared" si="26"/>
        <v>29.4</v>
      </c>
      <c r="P153" s="56">
        <f>'Lab Component'!K153</f>
        <v>19</v>
      </c>
      <c r="Q153" s="56">
        <f t="shared" si="19"/>
        <v>48.4</v>
      </c>
      <c r="R153" s="56">
        <f t="shared" si="27"/>
        <v>49</v>
      </c>
      <c r="S153" s="3">
        <v>38</v>
      </c>
      <c r="T153" s="60">
        <v>11</v>
      </c>
      <c r="U153">
        <f t="shared" si="20"/>
        <v>49</v>
      </c>
    </row>
    <row r="154" spans="1:21">
      <c r="A154" s="4">
        <v>142</v>
      </c>
      <c r="B154" s="5" t="s">
        <v>309</v>
      </c>
      <c r="C154" s="13" t="s">
        <v>310</v>
      </c>
      <c r="D154" s="34">
        <v>43</v>
      </c>
      <c r="E154" s="49">
        <f t="shared" si="21"/>
        <v>25.8</v>
      </c>
      <c r="F154" s="34">
        <v>49</v>
      </c>
      <c r="G154" s="49">
        <f t="shared" si="22"/>
        <v>29.4</v>
      </c>
      <c r="H154" s="34">
        <v>43</v>
      </c>
      <c r="I154" s="49">
        <f t="shared" si="23"/>
        <v>25.8</v>
      </c>
      <c r="J154" s="49">
        <f t="shared" si="18"/>
        <v>27</v>
      </c>
      <c r="K154" s="34">
        <v>30</v>
      </c>
      <c r="L154" s="54">
        <f t="shared" si="24"/>
        <v>10</v>
      </c>
      <c r="M154" s="34">
        <v>10</v>
      </c>
      <c r="N154" s="56">
        <f t="shared" si="25"/>
        <v>47</v>
      </c>
      <c r="O154" s="56">
        <f t="shared" si="26"/>
        <v>28.2</v>
      </c>
      <c r="P154" s="56">
        <f>'Lab Component'!K154</f>
        <v>20</v>
      </c>
      <c r="Q154" s="56">
        <f t="shared" si="19"/>
        <v>48.2</v>
      </c>
      <c r="R154" s="56">
        <f t="shared" si="27"/>
        <v>49</v>
      </c>
      <c r="S154" s="3">
        <v>36</v>
      </c>
      <c r="T154" s="60">
        <v>11</v>
      </c>
      <c r="U154">
        <f t="shared" si="20"/>
        <v>47</v>
      </c>
    </row>
    <row r="155" spans="1:21">
      <c r="A155" s="4">
        <v>143</v>
      </c>
      <c r="B155" s="5" t="s">
        <v>311</v>
      </c>
      <c r="C155" s="13" t="s">
        <v>312</v>
      </c>
      <c r="D155" s="34">
        <v>43</v>
      </c>
      <c r="E155" s="49">
        <f t="shared" si="21"/>
        <v>25.8</v>
      </c>
      <c r="F155" s="34">
        <v>47</v>
      </c>
      <c r="G155" s="49">
        <f t="shared" si="22"/>
        <v>28.2</v>
      </c>
      <c r="H155" s="34">
        <v>48</v>
      </c>
      <c r="I155" s="49">
        <f t="shared" si="23"/>
        <v>28.8</v>
      </c>
      <c r="J155" s="49">
        <f t="shared" si="18"/>
        <v>27.6</v>
      </c>
      <c r="K155" s="34">
        <v>30</v>
      </c>
      <c r="L155" s="54">
        <f t="shared" si="24"/>
        <v>10</v>
      </c>
      <c r="M155" s="34">
        <v>9</v>
      </c>
      <c r="N155" s="56">
        <f t="shared" si="25"/>
        <v>46.6</v>
      </c>
      <c r="O155" s="56">
        <f t="shared" si="26"/>
        <v>27.96</v>
      </c>
      <c r="P155" s="56">
        <f>'Lab Component'!K155</f>
        <v>19</v>
      </c>
      <c r="Q155" s="56">
        <f t="shared" si="19"/>
        <v>46.96</v>
      </c>
      <c r="R155" s="56">
        <f t="shared" si="27"/>
        <v>47</v>
      </c>
      <c r="S155" s="3">
        <v>36</v>
      </c>
      <c r="T155" s="60">
        <v>11</v>
      </c>
      <c r="U155">
        <f t="shared" si="20"/>
        <v>47</v>
      </c>
    </row>
    <row r="156" spans="1:21">
      <c r="A156" s="4">
        <v>144</v>
      </c>
      <c r="B156" s="5" t="s">
        <v>313</v>
      </c>
      <c r="C156" s="13" t="s">
        <v>314</v>
      </c>
      <c r="D156" s="34">
        <v>43</v>
      </c>
      <c r="E156" s="49">
        <f t="shared" si="21"/>
        <v>25.8</v>
      </c>
      <c r="F156" s="34">
        <v>47</v>
      </c>
      <c r="G156" s="49">
        <f t="shared" si="22"/>
        <v>28.2</v>
      </c>
      <c r="H156" s="34">
        <v>47</v>
      </c>
      <c r="I156" s="49">
        <f t="shared" si="23"/>
        <v>28.2</v>
      </c>
      <c r="J156" s="49">
        <f t="shared" si="18"/>
        <v>27.4</v>
      </c>
      <c r="K156" s="34">
        <v>30</v>
      </c>
      <c r="L156" s="54">
        <f t="shared" si="24"/>
        <v>10</v>
      </c>
      <c r="M156" s="34">
        <v>10</v>
      </c>
      <c r="N156" s="34">
        <f t="shared" si="25"/>
        <v>47.4</v>
      </c>
      <c r="O156" s="56">
        <f t="shared" si="26"/>
        <v>28.44</v>
      </c>
      <c r="P156" s="56">
        <f>'Lab Component'!K156</f>
        <v>19</v>
      </c>
      <c r="Q156" s="56">
        <f t="shared" si="19"/>
        <v>47.44</v>
      </c>
      <c r="R156" s="56">
        <f t="shared" si="27"/>
        <v>48</v>
      </c>
      <c r="S156" s="3">
        <v>38</v>
      </c>
      <c r="T156" s="60">
        <v>11</v>
      </c>
      <c r="U156">
        <f t="shared" si="20"/>
        <v>49</v>
      </c>
    </row>
    <row r="157" spans="1:21">
      <c r="A157" s="4">
        <v>145</v>
      </c>
      <c r="B157" s="5" t="s">
        <v>315</v>
      </c>
      <c r="C157" s="13" t="s">
        <v>316</v>
      </c>
      <c r="D157" s="34">
        <v>42</v>
      </c>
      <c r="E157" s="49">
        <f t="shared" si="21"/>
        <v>25.2</v>
      </c>
      <c r="F157" s="34">
        <v>46</v>
      </c>
      <c r="G157" s="49">
        <f t="shared" si="22"/>
        <v>27.6</v>
      </c>
      <c r="H157" s="34">
        <v>48</v>
      </c>
      <c r="I157" s="49">
        <f t="shared" si="23"/>
        <v>28.8</v>
      </c>
      <c r="J157" s="49">
        <f t="shared" si="18"/>
        <v>27.2</v>
      </c>
      <c r="K157" s="34">
        <v>30</v>
      </c>
      <c r="L157" s="54">
        <f t="shared" si="24"/>
        <v>10</v>
      </c>
      <c r="M157" s="34">
        <v>10</v>
      </c>
      <c r="N157" s="34">
        <f t="shared" si="25"/>
        <v>47.2</v>
      </c>
      <c r="O157" s="56">
        <f t="shared" si="26"/>
        <v>28.32</v>
      </c>
      <c r="P157" s="56">
        <f>'Lab Component'!K157</f>
        <v>19</v>
      </c>
      <c r="Q157" s="56">
        <f t="shared" si="19"/>
        <v>47.32</v>
      </c>
      <c r="R157" s="56">
        <f t="shared" si="27"/>
        <v>48</v>
      </c>
      <c r="S157" s="3">
        <v>38</v>
      </c>
      <c r="T157" s="60">
        <v>11</v>
      </c>
      <c r="U157">
        <f t="shared" si="20"/>
        <v>49</v>
      </c>
    </row>
    <row r="158" spans="1:21">
      <c r="A158" s="4">
        <v>146</v>
      </c>
      <c r="B158" s="5" t="s">
        <v>317</v>
      </c>
      <c r="C158" s="13" t="s">
        <v>318</v>
      </c>
      <c r="D158" s="34">
        <v>37</v>
      </c>
      <c r="E158" s="49">
        <f t="shared" si="21"/>
        <v>22.2</v>
      </c>
      <c r="F158" s="34">
        <v>35</v>
      </c>
      <c r="G158" s="49">
        <f t="shared" si="22"/>
        <v>21</v>
      </c>
      <c r="H158" s="34">
        <v>39</v>
      </c>
      <c r="I158" s="49">
        <f t="shared" si="23"/>
        <v>23.4</v>
      </c>
      <c r="J158" s="49">
        <f t="shared" si="18"/>
        <v>22.2</v>
      </c>
      <c r="K158" s="34">
        <v>30</v>
      </c>
      <c r="L158" s="54">
        <f t="shared" si="24"/>
        <v>10</v>
      </c>
      <c r="M158" s="34">
        <v>8</v>
      </c>
      <c r="N158" s="56">
        <f t="shared" si="25"/>
        <v>40.2</v>
      </c>
      <c r="O158" s="56">
        <f t="shared" si="26"/>
        <v>24.12</v>
      </c>
      <c r="P158" s="56">
        <f>'Lab Component'!K158</f>
        <v>18</v>
      </c>
      <c r="Q158" s="56">
        <f t="shared" si="19"/>
        <v>42.12</v>
      </c>
      <c r="R158" s="56">
        <f t="shared" si="27"/>
        <v>43</v>
      </c>
      <c r="S158" s="3">
        <v>38</v>
      </c>
      <c r="T158" s="60">
        <v>12</v>
      </c>
      <c r="U158">
        <f t="shared" si="20"/>
        <v>50</v>
      </c>
    </row>
    <row r="159" spans="1:21">
      <c r="A159" s="4">
        <v>147</v>
      </c>
      <c r="B159" s="5" t="s">
        <v>319</v>
      </c>
      <c r="C159" s="13" t="s">
        <v>320</v>
      </c>
      <c r="D159" s="34">
        <v>45</v>
      </c>
      <c r="E159" s="49">
        <f t="shared" si="21"/>
        <v>27</v>
      </c>
      <c r="F159" s="34">
        <v>45</v>
      </c>
      <c r="G159" s="49">
        <f t="shared" si="22"/>
        <v>27</v>
      </c>
      <c r="H159" s="34">
        <v>46</v>
      </c>
      <c r="I159" s="49">
        <f t="shared" si="23"/>
        <v>27.6</v>
      </c>
      <c r="J159" s="49">
        <f t="shared" si="18"/>
        <v>27.2</v>
      </c>
      <c r="K159" s="34">
        <v>30</v>
      </c>
      <c r="L159" s="54">
        <f t="shared" si="24"/>
        <v>10</v>
      </c>
      <c r="M159" s="34">
        <v>10</v>
      </c>
      <c r="N159" s="56">
        <f t="shared" si="25"/>
        <v>47.2</v>
      </c>
      <c r="O159" s="56">
        <f t="shared" si="26"/>
        <v>28.32</v>
      </c>
      <c r="P159" s="56">
        <f>'Lab Component'!K159</f>
        <v>19</v>
      </c>
      <c r="Q159" s="56">
        <f t="shared" si="19"/>
        <v>47.32</v>
      </c>
      <c r="R159" s="56">
        <f t="shared" si="27"/>
        <v>48</v>
      </c>
      <c r="S159" s="3">
        <v>36</v>
      </c>
      <c r="T159" s="60">
        <v>11</v>
      </c>
      <c r="U159">
        <f t="shared" si="20"/>
        <v>47</v>
      </c>
    </row>
    <row r="160" spans="1:21">
      <c r="A160" s="4">
        <v>148</v>
      </c>
      <c r="B160" s="5" t="s">
        <v>321</v>
      </c>
      <c r="C160" s="13" t="s">
        <v>322</v>
      </c>
      <c r="D160" s="34">
        <v>42</v>
      </c>
      <c r="E160" s="49">
        <f t="shared" si="21"/>
        <v>25.2</v>
      </c>
      <c r="F160" s="34">
        <v>42</v>
      </c>
      <c r="G160" s="49">
        <f t="shared" si="22"/>
        <v>25.2</v>
      </c>
      <c r="H160" s="34">
        <v>49</v>
      </c>
      <c r="I160" s="49">
        <f t="shared" si="23"/>
        <v>29.4</v>
      </c>
      <c r="J160" s="49">
        <f t="shared" si="18"/>
        <v>26.6</v>
      </c>
      <c r="K160" s="34">
        <v>30</v>
      </c>
      <c r="L160" s="54">
        <f t="shared" si="24"/>
        <v>10</v>
      </c>
      <c r="M160" s="34">
        <v>10</v>
      </c>
      <c r="N160" s="56">
        <f t="shared" si="25"/>
        <v>46.6</v>
      </c>
      <c r="O160" s="56">
        <f t="shared" si="26"/>
        <v>27.96</v>
      </c>
      <c r="P160" s="56">
        <f>'Lab Component'!K160</f>
        <v>19</v>
      </c>
      <c r="Q160" s="56">
        <f t="shared" si="19"/>
        <v>46.96</v>
      </c>
      <c r="R160" s="56">
        <f t="shared" si="27"/>
        <v>47</v>
      </c>
      <c r="S160" s="3">
        <v>36</v>
      </c>
      <c r="T160" s="60">
        <v>11</v>
      </c>
      <c r="U160">
        <f t="shared" si="20"/>
        <v>47</v>
      </c>
    </row>
    <row r="161" spans="1:21">
      <c r="A161" s="4">
        <v>149</v>
      </c>
      <c r="B161" s="5" t="s">
        <v>323</v>
      </c>
      <c r="C161" s="13" t="s">
        <v>324</v>
      </c>
      <c r="D161" s="34">
        <v>44</v>
      </c>
      <c r="E161" s="49">
        <f t="shared" si="21"/>
        <v>26.4</v>
      </c>
      <c r="F161" s="34">
        <v>45</v>
      </c>
      <c r="G161" s="49">
        <f t="shared" si="22"/>
        <v>27</v>
      </c>
      <c r="H161" s="34">
        <v>49</v>
      </c>
      <c r="I161" s="49">
        <f t="shared" si="23"/>
        <v>29.4</v>
      </c>
      <c r="J161" s="49">
        <f t="shared" si="18"/>
        <v>27.6</v>
      </c>
      <c r="K161" s="34">
        <v>30</v>
      </c>
      <c r="L161" s="54">
        <f t="shared" si="24"/>
        <v>10</v>
      </c>
      <c r="M161" s="34">
        <v>10</v>
      </c>
      <c r="N161" s="56">
        <f t="shared" si="25"/>
        <v>47.6</v>
      </c>
      <c r="O161" s="56">
        <f t="shared" si="26"/>
        <v>28.56</v>
      </c>
      <c r="P161" s="56">
        <f>'Lab Component'!K161</f>
        <v>19</v>
      </c>
      <c r="Q161" s="56">
        <f t="shared" si="19"/>
        <v>47.56</v>
      </c>
      <c r="R161" s="56">
        <f t="shared" si="27"/>
        <v>48</v>
      </c>
      <c r="S161" s="3">
        <v>39</v>
      </c>
      <c r="T161" s="60">
        <v>11</v>
      </c>
      <c r="U161">
        <f t="shared" si="20"/>
        <v>50</v>
      </c>
    </row>
    <row r="162" spans="1:21">
      <c r="A162" s="4">
        <v>150</v>
      </c>
      <c r="B162" s="5" t="s">
        <v>325</v>
      </c>
      <c r="C162" s="13" t="s">
        <v>326</v>
      </c>
      <c r="D162" s="34">
        <v>48</v>
      </c>
      <c r="E162" s="49">
        <f t="shared" si="21"/>
        <v>28.8</v>
      </c>
      <c r="F162" s="34">
        <v>47</v>
      </c>
      <c r="G162" s="49">
        <f t="shared" si="22"/>
        <v>28.2</v>
      </c>
      <c r="H162" s="34">
        <v>50</v>
      </c>
      <c r="I162" s="49">
        <f t="shared" si="23"/>
        <v>30</v>
      </c>
      <c r="J162" s="49">
        <f t="shared" si="18"/>
        <v>29</v>
      </c>
      <c r="K162" s="34">
        <v>30</v>
      </c>
      <c r="L162" s="54">
        <f t="shared" si="24"/>
        <v>10</v>
      </c>
      <c r="M162" s="34">
        <v>10</v>
      </c>
      <c r="N162" s="56">
        <f t="shared" si="25"/>
        <v>49</v>
      </c>
      <c r="O162" s="56">
        <f t="shared" si="26"/>
        <v>29.4</v>
      </c>
      <c r="P162" s="56">
        <f>'Lab Component'!K162</f>
        <v>19</v>
      </c>
      <c r="Q162" s="56">
        <f t="shared" si="19"/>
        <v>48.4</v>
      </c>
      <c r="R162" s="56">
        <f t="shared" si="27"/>
        <v>49</v>
      </c>
      <c r="S162" s="3">
        <v>39</v>
      </c>
      <c r="T162" s="60">
        <v>11</v>
      </c>
      <c r="U162">
        <f t="shared" si="20"/>
        <v>50</v>
      </c>
    </row>
    <row r="163" spans="1:21">
      <c r="A163" s="4">
        <v>151</v>
      </c>
      <c r="B163" s="5" t="s">
        <v>327</v>
      </c>
      <c r="C163" s="13" t="s">
        <v>328</v>
      </c>
      <c r="D163" s="34">
        <v>47</v>
      </c>
      <c r="E163" s="49">
        <f t="shared" si="21"/>
        <v>28.2</v>
      </c>
      <c r="F163" s="34">
        <v>42</v>
      </c>
      <c r="G163" s="49">
        <f t="shared" si="22"/>
        <v>25.2</v>
      </c>
      <c r="H163" s="34">
        <v>42</v>
      </c>
      <c r="I163" s="49">
        <f t="shared" si="23"/>
        <v>25.2</v>
      </c>
      <c r="J163" s="49">
        <f t="shared" si="18"/>
        <v>26.2</v>
      </c>
      <c r="K163" s="34">
        <v>30</v>
      </c>
      <c r="L163" s="54">
        <f t="shared" si="24"/>
        <v>10</v>
      </c>
      <c r="M163" s="34">
        <v>10</v>
      </c>
      <c r="N163" s="56">
        <f t="shared" si="25"/>
        <v>46.2</v>
      </c>
      <c r="O163" s="56">
        <f t="shared" si="26"/>
        <v>27.72</v>
      </c>
      <c r="P163" s="56">
        <f>'Lab Component'!K163</f>
        <v>18</v>
      </c>
      <c r="Q163" s="56">
        <f t="shared" si="19"/>
        <v>45.72</v>
      </c>
      <c r="R163" s="56">
        <f t="shared" si="27"/>
        <v>46</v>
      </c>
      <c r="S163" s="3">
        <v>39</v>
      </c>
      <c r="T163" s="60">
        <v>11</v>
      </c>
      <c r="U163">
        <f t="shared" si="20"/>
        <v>50</v>
      </c>
    </row>
    <row r="164" spans="1:21">
      <c r="A164" s="4">
        <v>152</v>
      </c>
      <c r="B164" s="5" t="s">
        <v>329</v>
      </c>
      <c r="C164" s="13" t="s">
        <v>330</v>
      </c>
      <c r="D164" s="34">
        <v>36</v>
      </c>
      <c r="E164" s="49">
        <f t="shared" si="21"/>
        <v>21.6</v>
      </c>
      <c r="F164" s="34">
        <v>47</v>
      </c>
      <c r="G164" s="49">
        <f t="shared" si="22"/>
        <v>28.2</v>
      </c>
      <c r="H164" s="34">
        <v>42</v>
      </c>
      <c r="I164" s="49">
        <f t="shared" si="23"/>
        <v>25.2</v>
      </c>
      <c r="J164" s="49">
        <f t="shared" si="18"/>
        <v>25</v>
      </c>
      <c r="K164" s="34">
        <v>30</v>
      </c>
      <c r="L164" s="54">
        <f t="shared" si="24"/>
        <v>10</v>
      </c>
      <c r="M164" s="34">
        <v>9</v>
      </c>
      <c r="N164" s="56">
        <f t="shared" si="25"/>
        <v>44</v>
      </c>
      <c r="O164" s="56">
        <f t="shared" si="26"/>
        <v>26.4</v>
      </c>
      <c r="P164" s="56">
        <f>'Lab Component'!K164</f>
        <v>19</v>
      </c>
      <c r="Q164" s="56">
        <f t="shared" si="19"/>
        <v>45.4</v>
      </c>
      <c r="R164" s="56">
        <f t="shared" si="27"/>
        <v>46</v>
      </c>
      <c r="S164" s="3">
        <v>36</v>
      </c>
      <c r="T164" s="60">
        <v>11</v>
      </c>
      <c r="U164">
        <f t="shared" si="20"/>
        <v>47</v>
      </c>
    </row>
    <row r="165" spans="1:21">
      <c r="A165" s="4">
        <v>153</v>
      </c>
      <c r="B165" s="5" t="s">
        <v>331</v>
      </c>
      <c r="C165" s="13" t="s">
        <v>332</v>
      </c>
      <c r="D165" s="34">
        <v>43</v>
      </c>
      <c r="E165" s="49">
        <f t="shared" si="21"/>
        <v>25.8</v>
      </c>
      <c r="F165" s="34">
        <v>43</v>
      </c>
      <c r="G165" s="49">
        <f t="shared" si="22"/>
        <v>25.8</v>
      </c>
      <c r="H165" s="34">
        <v>39</v>
      </c>
      <c r="I165" s="49">
        <f t="shared" si="23"/>
        <v>23.4</v>
      </c>
      <c r="J165" s="49">
        <f t="shared" si="18"/>
        <v>25</v>
      </c>
      <c r="K165" s="34">
        <v>30</v>
      </c>
      <c r="L165" s="54">
        <f t="shared" si="24"/>
        <v>10</v>
      </c>
      <c r="M165" s="34">
        <v>9</v>
      </c>
      <c r="N165" s="34">
        <f t="shared" si="25"/>
        <v>44</v>
      </c>
      <c r="O165" s="56">
        <f t="shared" si="26"/>
        <v>26.4</v>
      </c>
      <c r="P165" s="56">
        <f>'Lab Component'!K165</f>
        <v>18</v>
      </c>
      <c r="Q165" s="56">
        <f t="shared" si="19"/>
        <v>44.4</v>
      </c>
      <c r="R165" s="56">
        <f t="shared" si="27"/>
        <v>45</v>
      </c>
      <c r="S165" s="3">
        <v>39</v>
      </c>
      <c r="T165" s="60">
        <v>11</v>
      </c>
      <c r="U165">
        <f t="shared" si="20"/>
        <v>50</v>
      </c>
    </row>
    <row r="166" spans="1:21">
      <c r="A166" s="4">
        <v>154</v>
      </c>
      <c r="B166" s="5" t="s">
        <v>333</v>
      </c>
      <c r="C166" s="13" t="s">
        <v>334</v>
      </c>
      <c r="D166" s="34">
        <v>36</v>
      </c>
      <c r="E166" s="49">
        <f t="shared" si="21"/>
        <v>21.6</v>
      </c>
      <c r="F166" s="34">
        <v>35</v>
      </c>
      <c r="G166" s="49">
        <f t="shared" si="22"/>
        <v>21</v>
      </c>
      <c r="H166" s="34">
        <v>23</v>
      </c>
      <c r="I166" s="49">
        <f t="shared" si="23"/>
        <v>13.8</v>
      </c>
      <c r="J166" s="49">
        <f t="shared" si="18"/>
        <v>18.8</v>
      </c>
      <c r="K166" s="34">
        <v>30</v>
      </c>
      <c r="L166" s="54">
        <f t="shared" si="24"/>
        <v>10</v>
      </c>
      <c r="M166" s="34">
        <v>8</v>
      </c>
      <c r="N166" s="34">
        <f t="shared" si="25"/>
        <v>36.8</v>
      </c>
      <c r="O166" s="56">
        <f t="shared" si="26"/>
        <v>22.08</v>
      </c>
      <c r="P166" s="56">
        <f>'Lab Component'!K166</f>
        <v>18</v>
      </c>
      <c r="Q166" s="56">
        <f t="shared" si="19"/>
        <v>40.08</v>
      </c>
      <c r="R166" s="56">
        <f t="shared" si="27"/>
        <v>41</v>
      </c>
      <c r="S166" s="3">
        <v>38</v>
      </c>
      <c r="T166" s="60">
        <v>11</v>
      </c>
      <c r="U166">
        <f t="shared" si="20"/>
        <v>49</v>
      </c>
    </row>
    <row r="167" spans="1:21">
      <c r="A167" s="4">
        <v>155</v>
      </c>
      <c r="B167" s="5" t="s">
        <v>335</v>
      </c>
      <c r="C167" s="13" t="s">
        <v>336</v>
      </c>
      <c r="D167" s="34">
        <v>48</v>
      </c>
      <c r="E167" s="49">
        <f t="shared" si="21"/>
        <v>28.8</v>
      </c>
      <c r="F167" s="34">
        <v>39</v>
      </c>
      <c r="G167" s="49">
        <f t="shared" si="22"/>
        <v>23.4</v>
      </c>
      <c r="H167" s="34">
        <v>45</v>
      </c>
      <c r="I167" s="49">
        <f t="shared" si="23"/>
        <v>27</v>
      </c>
      <c r="J167" s="49">
        <f t="shared" si="18"/>
        <v>26.4</v>
      </c>
      <c r="K167" s="34">
        <v>30</v>
      </c>
      <c r="L167" s="54">
        <f t="shared" si="24"/>
        <v>10</v>
      </c>
      <c r="M167" s="34">
        <v>9</v>
      </c>
      <c r="N167" s="56">
        <f t="shared" si="25"/>
        <v>45.4</v>
      </c>
      <c r="O167" s="56">
        <f t="shared" si="26"/>
        <v>27.24</v>
      </c>
      <c r="P167" s="56">
        <f>'Lab Component'!K167</f>
        <v>18</v>
      </c>
      <c r="Q167" s="56">
        <f t="shared" si="19"/>
        <v>45.24</v>
      </c>
      <c r="R167" s="56">
        <f t="shared" si="27"/>
        <v>46</v>
      </c>
      <c r="S167" s="3">
        <v>38</v>
      </c>
      <c r="T167" s="60">
        <v>11</v>
      </c>
      <c r="U167">
        <f t="shared" si="20"/>
        <v>49</v>
      </c>
    </row>
    <row r="168" spans="1:21">
      <c r="A168" s="4">
        <v>156</v>
      </c>
      <c r="B168" s="5" t="s">
        <v>337</v>
      </c>
      <c r="C168" s="13" t="s">
        <v>338</v>
      </c>
      <c r="D168" s="34">
        <v>43</v>
      </c>
      <c r="E168" s="49">
        <f t="shared" si="21"/>
        <v>25.8</v>
      </c>
      <c r="F168" s="34">
        <v>43</v>
      </c>
      <c r="G168" s="49">
        <f t="shared" si="22"/>
        <v>25.8</v>
      </c>
      <c r="H168" s="34">
        <v>48</v>
      </c>
      <c r="I168" s="49">
        <f t="shared" si="23"/>
        <v>28.8</v>
      </c>
      <c r="J168" s="49">
        <f t="shared" si="18"/>
        <v>26.8</v>
      </c>
      <c r="K168" s="34">
        <v>30</v>
      </c>
      <c r="L168" s="54">
        <f t="shared" si="24"/>
        <v>10</v>
      </c>
      <c r="M168" s="34">
        <v>10</v>
      </c>
      <c r="N168" s="56">
        <f t="shared" si="25"/>
        <v>46.8</v>
      </c>
      <c r="O168" s="56">
        <f t="shared" si="26"/>
        <v>28.08</v>
      </c>
      <c r="P168" s="56">
        <f>'Lab Component'!K168</f>
        <v>20</v>
      </c>
      <c r="Q168" s="56">
        <f t="shared" si="19"/>
        <v>48.08</v>
      </c>
      <c r="R168" s="56">
        <f t="shared" si="27"/>
        <v>49</v>
      </c>
      <c r="S168" s="3">
        <v>38</v>
      </c>
      <c r="T168" s="60">
        <v>11</v>
      </c>
      <c r="U168">
        <f t="shared" si="20"/>
        <v>49</v>
      </c>
    </row>
    <row r="169" spans="1:21">
      <c r="A169" s="4">
        <v>157</v>
      </c>
      <c r="B169" s="5" t="s">
        <v>339</v>
      </c>
      <c r="C169" s="13" t="s">
        <v>340</v>
      </c>
      <c r="D169" s="34">
        <v>46</v>
      </c>
      <c r="E169" s="49">
        <f t="shared" si="21"/>
        <v>27.6</v>
      </c>
      <c r="F169" s="34">
        <v>45</v>
      </c>
      <c r="G169" s="49">
        <f t="shared" si="22"/>
        <v>27</v>
      </c>
      <c r="H169" s="34">
        <v>48</v>
      </c>
      <c r="I169" s="49">
        <f t="shared" si="23"/>
        <v>28.8</v>
      </c>
      <c r="J169" s="49">
        <f t="shared" si="18"/>
        <v>27.8</v>
      </c>
      <c r="K169" s="34">
        <v>30</v>
      </c>
      <c r="L169" s="54">
        <f t="shared" si="24"/>
        <v>10</v>
      </c>
      <c r="M169" s="34">
        <v>9</v>
      </c>
      <c r="N169" s="56">
        <f t="shared" si="25"/>
        <v>46.8</v>
      </c>
      <c r="O169" s="56">
        <f t="shared" si="26"/>
        <v>28.08</v>
      </c>
      <c r="P169" s="56">
        <f>'Lab Component'!K169</f>
        <v>19</v>
      </c>
      <c r="Q169" s="56">
        <f t="shared" si="19"/>
        <v>47.08</v>
      </c>
      <c r="R169" s="56">
        <f t="shared" si="27"/>
        <v>48</v>
      </c>
      <c r="S169" s="3">
        <v>36</v>
      </c>
      <c r="T169" s="60">
        <v>11</v>
      </c>
      <c r="U169">
        <f t="shared" si="20"/>
        <v>47</v>
      </c>
    </row>
    <row r="170" spans="1:21">
      <c r="A170" s="4">
        <v>158</v>
      </c>
      <c r="B170" s="5" t="s">
        <v>341</v>
      </c>
      <c r="C170" s="13" t="s">
        <v>342</v>
      </c>
      <c r="D170" s="34">
        <v>40</v>
      </c>
      <c r="E170" s="49">
        <f t="shared" si="21"/>
        <v>24</v>
      </c>
      <c r="F170" s="34">
        <v>31</v>
      </c>
      <c r="G170" s="49">
        <f t="shared" si="22"/>
        <v>18.6</v>
      </c>
      <c r="H170" s="34">
        <v>44</v>
      </c>
      <c r="I170" s="49">
        <f t="shared" si="23"/>
        <v>26.4</v>
      </c>
      <c r="J170" s="49">
        <f t="shared" si="18"/>
        <v>23</v>
      </c>
      <c r="K170" s="34">
        <v>30</v>
      </c>
      <c r="L170" s="54">
        <f t="shared" si="24"/>
        <v>10</v>
      </c>
      <c r="M170" s="34">
        <v>8</v>
      </c>
      <c r="N170" s="56">
        <f t="shared" si="25"/>
        <v>41</v>
      </c>
      <c r="O170" s="56">
        <f t="shared" si="26"/>
        <v>24.6</v>
      </c>
      <c r="P170" s="56">
        <f>'Lab Component'!K170</f>
        <v>18</v>
      </c>
      <c r="Q170" s="56">
        <f t="shared" si="19"/>
        <v>42.6</v>
      </c>
      <c r="R170" s="56">
        <f t="shared" si="27"/>
        <v>43</v>
      </c>
      <c r="S170" s="3">
        <v>36</v>
      </c>
      <c r="T170" s="60">
        <v>11</v>
      </c>
      <c r="U170">
        <f t="shared" si="20"/>
        <v>47</v>
      </c>
    </row>
    <row r="171" ht="13.5" customHeight="1" spans="1:21">
      <c r="A171" s="4">
        <v>159</v>
      </c>
      <c r="B171" s="5" t="s">
        <v>343</v>
      </c>
      <c r="C171" s="13" t="s">
        <v>344</v>
      </c>
      <c r="D171" s="34">
        <v>36</v>
      </c>
      <c r="E171" s="49">
        <f t="shared" si="21"/>
        <v>21.6</v>
      </c>
      <c r="F171" s="34">
        <v>0</v>
      </c>
      <c r="G171" s="49">
        <f t="shared" si="22"/>
        <v>0</v>
      </c>
      <c r="H171" s="34">
        <v>48</v>
      </c>
      <c r="I171" s="49">
        <f t="shared" si="23"/>
        <v>28.8</v>
      </c>
      <c r="J171" s="49">
        <f t="shared" si="18"/>
        <v>16.8</v>
      </c>
      <c r="K171" s="34">
        <v>30</v>
      </c>
      <c r="L171" s="54">
        <f t="shared" si="24"/>
        <v>10</v>
      </c>
      <c r="M171" s="34">
        <v>7</v>
      </c>
      <c r="N171" s="56">
        <f t="shared" si="25"/>
        <v>33.8</v>
      </c>
      <c r="O171" s="56">
        <f t="shared" si="26"/>
        <v>20.28</v>
      </c>
      <c r="P171" s="56">
        <f>'Lab Component'!K171</f>
        <v>18</v>
      </c>
      <c r="Q171" s="56">
        <f t="shared" si="19"/>
        <v>38.28</v>
      </c>
      <c r="R171" s="56">
        <f t="shared" si="27"/>
        <v>39</v>
      </c>
      <c r="S171" s="3">
        <v>36</v>
      </c>
      <c r="T171" s="60">
        <v>11</v>
      </c>
      <c r="U171">
        <f t="shared" si="20"/>
        <v>47</v>
      </c>
    </row>
    <row r="172" spans="1:21">
      <c r="A172" s="4">
        <v>160</v>
      </c>
      <c r="B172" s="5" t="s">
        <v>345</v>
      </c>
      <c r="C172" s="13" t="s">
        <v>346</v>
      </c>
      <c r="D172" s="34">
        <v>48</v>
      </c>
      <c r="E172" s="49">
        <f t="shared" si="21"/>
        <v>28.8</v>
      </c>
      <c r="F172" s="34">
        <v>36</v>
      </c>
      <c r="G172" s="49">
        <f t="shared" si="22"/>
        <v>21.6</v>
      </c>
      <c r="H172" s="34">
        <v>43</v>
      </c>
      <c r="I172" s="49">
        <f t="shared" si="23"/>
        <v>25.8</v>
      </c>
      <c r="J172" s="49">
        <f t="shared" si="18"/>
        <v>25.4</v>
      </c>
      <c r="K172" s="34">
        <v>30</v>
      </c>
      <c r="L172" s="54">
        <f t="shared" si="24"/>
        <v>10</v>
      </c>
      <c r="M172" s="34">
        <v>8</v>
      </c>
      <c r="N172" s="56">
        <f t="shared" si="25"/>
        <v>43.4</v>
      </c>
      <c r="O172" s="56">
        <f t="shared" si="26"/>
        <v>26.04</v>
      </c>
      <c r="P172" s="56">
        <f>'Lab Component'!K172</f>
        <v>18</v>
      </c>
      <c r="Q172" s="56">
        <f t="shared" si="19"/>
        <v>44.04</v>
      </c>
      <c r="R172" s="56">
        <f t="shared" si="27"/>
        <v>45</v>
      </c>
      <c r="S172" s="3">
        <v>36</v>
      </c>
      <c r="T172" s="60">
        <v>11</v>
      </c>
      <c r="U172">
        <f t="shared" si="20"/>
        <v>47</v>
      </c>
    </row>
    <row r="173" ht="30" spans="1:21">
      <c r="A173" s="4">
        <v>161</v>
      </c>
      <c r="B173" s="5" t="s">
        <v>347</v>
      </c>
      <c r="C173" s="13" t="s">
        <v>348</v>
      </c>
      <c r="D173" s="34">
        <v>40</v>
      </c>
      <c r="E173" s="49">
        <f t="shared" si="21"/>
        <v>24</v>
      </c>
      <c r="F173" s="34">
        <v>40</v>
      </c>
      <c r="G173" s="49">
        <f t="shared" si="22"/>
        <v>24</v>
      </c>
      <c r="H173" s="34">
        <v>33</v>
      </c>
      <c r="I173" s="49">
        <f t="shared" si="23"/>
        <v>19.8</v>
      </c>
      <c r="J173" s="49">
        <f t="shared" si="18"/>
        <v>22.6</v>
      </c>
      <c r="K173" s="34">
        <v>30</v>
      </c>
      <c r="L173" s="54">
        <f t="shared" si="24"/>
        <v>10</v>
      </c>
      <c r="M173" s="34">
        <v>8</v>
      </c>
      <c r="N173" s="56">
        <f t="shared" si="25"/>
        <v>40.6</v>
      </c>
      <c r="O173" s="56">
        <f t="shared" si="26"/>
        <v>24.36</v>
      </c>
      <c r="P173" s="56">
        <f>'Lab Component'!K173</f>
        <v>19</v>
      </c>
      <c r="Q173" s="56">
        <f t="shared" si="19"/>
        <v>43.36</v>
      </c>
      <c r="R173" s="56">
        <f t="shared" si="27"/>
        <v>44</v>
      </c>
      <c r="S173" s="3">
        <v>38</v>
      </c>
      <c r="T173" s="60">
        <v>11</v>
      </c>
      <c r="U173">
        <f t="shared" ref="U173:U201" si="28">SUM(S173:T173)</f>
        <v>49</v>
      </c>
    </row>
    <row r="174" spans="1:21">
      <c r="A174" s="4">
        <v>162</v>
      </c>
      <c r="B174" s="5" t="s">
        <v>349</v>
      </c>
      <c r="C174" s="13" t="s">
        <v>350</v>
      </c>
      <c r="D174" s="34">
        <v>48</v>
      </c>
      <c r="E174" s="49">
        <f t="shared" si="21"/>
        <v>28.8</v>
      </c>
      <c r="F174" s="34">
        <v>47</v>
      </c>
      <c r="G174" s="49">
        <f t="shared" si="22"/>
        <v>28.2</v>
      </c>
      <c r="H174" s="34">
        <v>0</v>
      </c>
      <c r="I174" s="49">
        <f t="shared" si="23"/>
        <v>0</v>
      </c>
      <c r="J174" s="49">
        <f t="shared" si="18"/>
        <v>19</v>
      </c>
      <c r="K174" s="34">
        <v>30</v>
      </c>
      <c r="L174" s="54">
        <f t="shared" si="24"/>
        <v>10</v>
      </c>
      <c r="M174" s="34">
        <v>10</v>
      </c>
      <c r="N174" s="34">
        <f t="shared" si="25"/>
        <v>39</v>
      </c>
      <c r="O174" s="56">
        <f t="shared" si="26"/>
        <v>23.4</v>
      </c>
      <c r="P174" s="56">
        <f>'Lab Component'!K174</f>
        <v>20</v>
      </c>
      <c r="Q174" s="56">
        <f t="shared" si="19"/>
        <v>43.4</v>
      </c>
      <c r="R174" s="56">
        <f t="shared" si="27"/>
        <v>44</v>
      </c>
      <c r="S174" s="3">
        <v>37</v>
      </c>
      <c r="T174" s="60">
        <v>11</v>
      </c>
      <c r="U174">
        <f t="shared" si="28"/>
        <v>48</v>
      </c>
    </row>
    <row r="175" spans="1:21">
      <c r="A175" s="4">
        <v>163</v>
      </c>
      <c r="B175" s="5" t="s">
        <v>351</v>
      </c>
      <c r="C175" s="13" t="s">
        <v>352</v>
      </c>
      <c r="D175" s="34">
        <v>41</v>
      </c>
      <c r="E175" s="49">
        <f t="shared" si="21"/>
        <v>24.6</v>
      </c>
      <c r="F175" s="34">
        <v>38</v>
      </c>
      <c r="G175" s="49">
        <f t="shared" si="22"/>
        <v>22.8</v>
      </c>
      <c r="H175" s="34">
        <v>43</v>
      </c>
      <c r="I175" s="49">
        <f t="shared" si="23"/>
        <v>25.8</v>
      </c>
      <c r="J175" s="49">
        <f t="shared" si="18"/>
        <v>24.4</v>
      </c>
      <c r="K175" s="34">
        <v>30</v>
      </c>
      <c r="L175" s="54">
        <f t="shared" si="24"/>
        <v>10</v>
      </c>
      <c r="M175" s="34">
        <v>9</v>
      </c>
      <c r="N175" s="34">
        <f t="shared" si="25"/>
        <v>43.4</v>
      </c>
      <c r="O175" s="56">
        <f t="shared" si="26"/>
        <v>26.04</v>
      </c>
      <c r="P175" s="56">
        <f>'Lab Component'!K175</f>
        <v>19</v>
      </c>
      <c r="Q175" s="56">
        <f t="shared" si="19"/>
        <v>45.04</v>
      </c>
      <c r="R175" s="56">
        <f t="shared" si="27"/>
        <v>46</v>
      </c>
      <c r="S175" s="3">
        <v>36</v>
      </c>
      <c r="T175" s="60">
        <v>11</v>
      </c>
      <c r="U175">
        <f t="shared" si="28"/>
        <v>47</v>
      </c>
    </row>
    <row r="176" spans="1:21">
      <c r="A176" s="4">
        <v>164</v>
      </c>
      <c r="B176" s="5" t="s">
        <v>353</v>
      </c>
      <c r="C176" s="13" t="s">
        <v>354</v>
      </c>
      <c r="D176" s="34">
        <v>42</v>
      </c>
      <c r="E176" s="49">
        <f t="shared" si="21"/>
        <v>25.2</v>
      </c>
      <c r="F176" s="34">
        <v>36</v>
      </c>
      <c r="G176" s="49">
        <f t="shared" si="22"/>
        <v>21.6</v>
      </c>
      <c r="H176" s="34">
        <v>40</v>
      </c>
      <c r="I176" s="49">
        <f t="shared" si="23"/>
        <v>24</v>
      </c>
      <c r="J176" s="49">
        <f t="shared" si="18"/>
        <v>23.6</v>
      </c>
      <c r="K176" s="57">
        <v>30</v>
      </c>
      <c r="L176" s="54">
        <f t="shared" si="24"/>
        <v>10</v>
      </c>
      <c r="M176" s="34">
        <v>8</v>
      </c>
      <c r="N176" s="56">
        <f t="shared" si="25"/>
        <v>41.6</v>
      </c>
      <c r="O176" s="56">
        <f t="shared" si="26"/>
        <v>24.96</v>
      </c>
      <c r="P176" s="56">
        <f>'Lab Component'!K176</f>
        <v>19</v>
      </c>
      <c r="Q176" s="56">
        <f t="shared" si="19"/>
        <v>43.96</v>
      </c>
      <c r="R176" s="56">
        <f t="shared" si="27"/>
        <v>44</v>
      </c>
      <c r="S176" s="3">
        <v>36</v>
      </c>
      <c r="T176" s="60">
        <v>12</v>
      </c>
      <c r="U176">
        <f t="shared" si="28"/>
        <v>48</v>
      </c>
    </row>
    <row r="177" spans="1:21">
      <c r="A177" s="4">
        <v>165</v>
      </c>
      <c r="B177" s="5" t="s">
        <v>355</v>
      </c>
      <c r="C177" s="13" t="s">
        <v>356</v>
      </c>
      <c r="D177" s="34">
        <v>45</v>
      </c>
      <c r="E177" s="49">
        <f t="shared" si="21"/>
        <v>27</v>
      </c>
      <c r="F177" s="34">
        <v>47</v>
      </c>
      <c r="G177" s="49">
        <f t="shared" si="22"/>
        <v>28.2</v>
      </c>
      <c r="H177" s="34">
        <v>48</v>
      </c>
      <c r="I177" s="49">
        <f t="shared" si="23"/>
        <v>28.8</v>
      </c>
      <c r="J177" s="49">
        <f t="shared" si="18"/>
        <v>28</v>
      </c>
      <c r="K177" s="58">
        <v>30</v>
      </c>
      <c r="L177" s="54">
        <f t="shared" si="24"/>
        <v>10</v>
      </c>
      <c r="M177" s="34">
        <v>10</v>
      </c>
      <c r="N177" s="56">
        <f t="shared" si="25"/>
        <v>48</v>
      </c>
      <c r="O177" s="56">
        <f t="shared" si="26"/>
        <v>28.8</v>
      </c>
      <c r="P177" s="56">
        <f>'Lab Component'!K177</f>
        <v>20</v>
      </c>
      <c r="Q177" s="56">
        <f t="shared" si="19"/>
        <v>48.8</v>
      </c>
      <c r="R177" s="56">
        <f t="shared" si="27"/>
        <v>49</v>
      </c>
      <c r="S177" s="3">
        <v>39</v>
      </c>
      <c r="T177" s="60">
        <v>12</v>
      </c>
      <c r="U177">
        <f t="shared" si="28"/>
        <v>51</v>
      </c>
    </row>
    <row r="178" spans="1:21">
      <c r="A178" s="4">
        <v>166</v>
      </c>
      <c r="B178" s="5" t="s">
        <v>357</v>
      </c>
      <c r="C178" s="13" t="s">
        <v>358</v>
      </c>
      <c r="D178" s="34">
        <v>41</v>
      </c>
      <c r="E178" s="49">
        <f t="shared" si="21"/>
        <v>24.6</v>
      </c>
      <c r="F178" s="34">
        <v>45</v>
      </c>
      <c r="G178" s="49">
        <f t="shared" si="22"/>
        <v>27</v>
      </c>
      <c r="H178" s="34">
        <v>47</v>
      </c>
      <c r="I178" s="49">
        <f t="shared" si="23"/>
        <v>28.2</v>
      </c>
      <c r="J178" s="49">
        <f t="shared" si="18"/>
        <v>26.6</v>
      </c>
      <c r="K178" s="57">
        <v>30</v>
      </c>
      <c r="L178" s="54">
        <f t="shared" si="24"/>
        <v>10</v>
      </c>
      <c r="M178" s="34">
        <v>10</v>
      </c>
      <c r="N178" s="56">
        <f t="shared" si="25"/>
        <v>46.6</v>
      </c>
      <c r="O178" s="56">
        <f t="shared" si="26"/>
        <v>27.96</v>
      </c>
      <c r="P178" s="56">
        <f>'Lab Component'!K178</f>
        <v>20</v>
      </c>
      <c r="Q178" s="56">
        <f t="shared" si="19"/>
        <v>47.96</v>
      </c>
      <c r="R178" s="56">
        <f t="shared" si="27"/>
        <v>48</v>
      </c>
      <c r="S178" s="3">
        <v>38</v>
      </c>
      <c r="T178" s="60">
        <v>12</v>
      </c>
      <c r="U178">
        <f t="shared" si="28"/>
        <v>50</v>
      </c>
    </row>
    <row r="179" spans="1:21">
      <c r="A179" s="4">
        <v>167</v>
      </c>
      <c r="B179" s="5" t="s">
        <v>359</v>
      </c>
      <c r="C179" s="13" t="s">
        <v>360</v>
      </c>
      <c r="D179" s="34">
        <v>50</v>
      </c>
      <c r="E179" s="49">
        <f t="shared" si="21"/>
        <v>30</v>
      </c>
      <c r="F179" s="34">
        <v>50</v>
      </c>
      <c r="G179" s="49">
        <f t="shared" si="22"/>
        <v>30</v>
      </c>
      <c r="H179" s="34">
        <v>49</v>
      </c>
      <c r="I179" s="49">
        <f t="shared" si="23"/>
        <v>29.4</v>
      </c>
      <c r="J179" s="49">
        <f t="shared" si="18"/>
        <v>29.8</v>
      </c>
      <c r="K179" s="58">
        <v>30</v>
      </c>
      <c r="L179" s="54">
        <f t="shared" si="24"/>
        <v>10</v>
      </c>
      <c r="M179" s="34">
        <v>10</v>
      </c>
      <c r="N179" s="56">
        <f t="shared" si="25"/>
        <v>49.8</v>
      </c>
      <c r="O179" s="56">
        <f t="shared" si="26"/>
        <v>29.88</v>
      </c>
      <c r="P179" s="56">
        <f>'Lab Component'!K179</f>
        <v>20</v>
      </c>
      <c r="Q179" s="56">
        <f t="shared" si="19"/>
        <v>49.88</v>
      </c>
      <c r="R179" s="56">
        <f t="shared" si="27"/>
        <v>50</v>
      </c>
      <c r="S179" s="3">
        <v>38</v>
      </c>
      <c r="T179" s="60">
        <v>11</v>
      </c>
      <c r="U179">
        <f t="shared" si="28"/>
        <v>49</v>
      </c>
    </row>
    <row r="180" spans="1:21">
      <c r="A180" s="4">
        <v>168</v>
      </c>
      <c r="B180" s="5" t="s">
        <v>361</v>
      </c>
      <c r="C180" s="13" t="s">
        <v>362</v>
      </c>
      <c r="D180" s="34">
        <v>38</v>
      </c>
      <c r="E180" s="49">
        <f t="shared" si="21"/>
        <v>22.8</v>
      </c>
      <c r="F180" s="34">
        <v>42</v>
      </c>
      <c r="G180" s="49">
        <f t="shared" si="22"/>
        <v>25.2</v>
      </c>
      <c r="H180" s="34">
        <v>45</v>
      </c>
      <c r="I180" s="49">
        <f t="shared" si="23"/>
        <v>27</v>
      </c>
      <c r="J180" s="49">
        <f t="shared" si="18"/>
        <v>25</v>
      </c>
      <c r="K180" s="57">
        <v>30</v>
      </c>
      <c r="L180" s="54">
        <f t="shared" si="24"/>
        <v>10</v>
      </c>
      <c r="M180" s="34">
        <v>8</v>
      </c>
      <c r="N180" s="56">
        <f t="shared" si="25"/>
        <v>43</v>
      </c>
      <c r="O180" s="56">
        <f t="shared" si="26"/>
        <v>25.8</v>
      </c>
      <c r="P180" s="56">
        <f>'Lab Component'!K180</f>
        <v>19</v>
      </c>
      <c r="Q180" s="56">
        <f t="shared" si="19"/>
        <v>44.8</v>
      </c>
      <c r="R180" s="56">
        <f t="shared" si="27"/>
        <v>45</v>
      </c>
      <c r="S180" s="3">
        <v>37</v>
      </c>
      <c r="T180" s="60">
        <v>11</v>
      </c>
      <c r="U180">
        <f t="shared" si="28"/>
        <v>48</v>
      </c>
    </row>
    <row r="181" spans="1:21">
      <c r="A181" s="4">
        <v>169</v>
      </c>
      <c r="B181" s="5" t="s">
        <v>363</v>
      </c>
      <c r="C181" s="13" t="s">
        <v>364</v>
      </c>
      <c r="D181" s="34">
        <v>18</v>
      </c>
      <c r="E181" s="49">
        <f t="shared" si="21"/>
        <v>10.8</v>
      </c>
      <c r="F181" s="34">
        <v>16</v>
      </c>
      <c r="G181" s="49">
        <f t="shared" si="22"/>
        <v>9.6</v>
      </c>
      <c r="H181" s="34">
        <v>26</v>
      </c>
      <c r="I181" s="49">
        <f t="shared" si="23"/>
        <v>15.6</v>
      </c>
      <c r="J181" s="49">
        <f t="shared" si="18"/>
        <v>12</v>
      </c>
      <c r="K181" s="34">
        <v>30</v>
      </c>
      <c r="L181" s="54">
        <f t="shared" si="24"/>
        <v>10</v>
      </c>
      <c r="M181" s="34">
        <v>8</v>
      </c>
      <c r="N181" s="56">
        <f t="shared" si="25"/>
        <v>30</v>
      </c>
      <c r="O181" s="56">
        <f t="shared" si="26"/>
        <v>18</v>
      </c>
      <c r="P181" s="56">
        <f>'Lab Component'!K181</f>
        <v>17</v>
      </c>
      <c r="Q181" s="56">
        <f t="shared" si="19"/>
        <v>35</v>
      </c>
      <c r="R181" s="56">
        <f t="shared" si="27"/>
        <v>35</v>
      </c>
      <c r="S181" s="3">
        <v>36</v>
      </c>
      <c r="T181" s="60">
        <v>11</v>
      </c>
      <c r="U181">
        <f t="shared" si="28"/>
        <v>47</v>
      </c>
    </row>
    <row r="182" spans="1:21">
      <c r="A182" s="4">
        <v>170</v>
      </c>
      <c r="B182" s="5" t="s">
        <v>365</v>
      </c>
      <c r="C182" s="13" t="s">
        <v>366</v>
      </c>
      <c r="D182" s="34">
        <v>48</v>
      </c>
      <c r="E182" s="49">
        <f t="shared" si="21"/>
        <v>28.8</v>
      </c>
      <c r="F182" s="34">
        <v>45</v>
      </c>
      <c r="G182" s="49">
        <f t="shared" si="22"/>
        <v>27</v>
      </c>
      <c r="H182" s="34">
        <v>45</v>
      </c>
      <c r="I182" s="49">
        <f t="shared" si="23"/>
        <v>27</v>
      </c>
      <c r="J182" s="49">
        <f t="shared" si="18"/>
        <v>27.6</v>
      </c>
      <c r="K182" s="34">
        <v>30</v>
      </c>
      <c r="L182" s="54">
        <f t="shared" si="24"/>
        <v>10</v>
      </c>
      <c r="M182" s="34">
        <v>10</v>
      </c>
      <c r="N182" s="56">
        <f t="shared" si="25"/>
        <v>47.6</v>
      </c>
      <c r="O182" s="56">
        <f t="shared" si="26"/>
        <v>28.56</v>
      </c>
      <c r="P182" s="56">
        <f>'Lab Component'!K182</f>
        <v>19</v>
      </c>
      <c r="Q182" s="56">
        <f t="shared" si="19"/>
        <v>47.56</v>
      </c>
      <c r="R182" s="56">
        <f t="shared" si="27"/>
        <v>48</v>
      </c>
      <c r="S182" s="3">
        <v>36</v>
      </c>
      <c r="T182" s="60">
        <v>12</v>
      </c>
      <c r="U182">
        <f t="shared" si="28"/>
        <v>48</v>
      </c>
    </row>
    <row r="183" spans="1:21">
      <c r="A183" s="4">
        <v>171</v>
      </c>
      <c r="B183" s="5" t="s">
        <v>367</v>
      </c>
      <c r="C183" s="13" t="s">
        <v>368</v>
      </c>
      <c r="D183" s="34">
        <v>42</v>
      </c>
      <c r="E183" s="49">
        <f t="shared" si="21"/>
        <v>25.2</v>
      </c>
      <c r="F183" s="34">
        <v>42</v>
      </c>
      <c r="G183" s="49">
        <f t="shared" si="22"/>
        <v>25.2</v>
      </c>
      <c r="H183" s="34">
        <v>45</v>
      </c>
      <c r="I183" s="49">
        <f t="shared" si="23"/>
        <v>27</v>
      </c>
      <c r="J183" s="49">
        <f t="shared" si="18"/>
        <v>25.8</v>
      </c>
      <c r="K183" s="34">
        <v>30</v>
      </c>
      <c r="L183" s="54">
        <f t="shared" si="24"/>
        <v>10</v>
      </c>
      <c r="M183" s="34">
        <v>9</v>
      </c>
      <c r="N183" s="34">
        <f t="shared" si="25"/>
        <v>44.8</v>
      </c>
      <c r="O183" s="56">
        <f t="shared" si="26"/>
        <v>26.88</v>
      </c>
      <c r="P183" s="56">
        <f>'Lab Component'!K183</f>
        <v>19</v>
      </c>
      <c r="Q183" s="56">
        <f t="shared" si="19"/>
        <v>45.88</v>
      </c>
      <c r="R183" s="56">
        <f t="shared" si="27"/>
        <v>46</v>
      </c>
      <c r="S183" s="3">
        <v>37</v>
      </c>
      <c r="T183" s="60">
        <v>11</v>
      </c>
      <c r="U183">
        <f t="shared" si="28"/>
        <v>48</v>
      </c>
    </row>
    <row r="184" spans="1:21">
      <c r="A184" s="4">
        <v>172</v>
      </c>
      <c r="B184" s="5" t="s">
        <v>369</v>
      </c>
      <c r="C184" s="13" t="s">
        <v>370</v>
      </c>
      <c r="D184" s="34">
        <v>22</v>
      </c>
      <c r="E184" s="49">
        <f t="shared" si="21"/>
        <v>13.2</v>
      </c>
      <c r="F184" s="34">
        <v>0</v>
      </c>
      <c r="G184" s="49">
        <f t="shared" si="22"/>
        <v>0</v>
      </c>
      <c r="H184" s="34">
        <v>38</v>
      </c>
      <c r="I184" s="49">
        <f t="shared" si="23"/>
        <v>22.8</v>
      </c>
      <c r="J184" s="49">
        <f t="shared" si="18"/>
        <v>12</v>
      </c>
      <c r="K184" s="34">
        <v>30</v>
      </c>
      <c r="L184" s="54">
        <f t="shared" si="24"/>
        <v>10</v>
      </c>
      <c r="M184" s="34">
        <v>8</v>
      </c>
      <c r="N184" s="34">
        <f t="shared" si="25"/>
        <v>30</v>
      </c>
      <c r="O184" s="56">
        <f t="shared" si="26"/>
        <v>18</v>
      </c>
      <c r="P184" s="56">
        <f>'Lab Component'!K184</f>
        <v>17</v>
      </c>
      <c r="Q184" s="56">
        <f t="shared" si="19"/>
        <v>35</v>
      </c>
      <c r="R184" s="56">
        <f t="shared" si="27"/>
        <v>35</v>
      </c>
      <c r="S184" s="3">
        <v>36</v>
      </c>
      <c r="T184" s="60">
        <v>12</v>
      </c>
      <c r="U184">
        <f t="shared" si="28"/>
        <v>48</v>
      </c>
    </row>
    <row r="185" spans="1:21">
      <c r="A185" s="4">
        <v>173</v>
      </c>
      <c r="B185" s="5" t="s">
        <v>371</v>
      </c>
      <c r="C185" s="13" t="s">
        <v>372</v>
      </c>
      <c r="D185" s="34">
        <v>38</v>
      </c>
      <c r="E185" s="49">
        <f t="shared" si="21"/>
        <v>22.8</v>
      </c>
      <c r="F185" s="34">
        <v>23</v>
      </c>
      <c r="G185" s="49">
        <f t="shared" si="22"/>
        <v>13.8</v>
      </c>
      <c r="H185" s="34">
        <v>17</v>
      </c>
      <c r="I185" s="49">
        <f t="shared" si="23"/>
        <v>10.2</v>
      </c>
      <c r="J185" s="49">
        <f t="shared" si="18"/>
        <v>15.6</v>
      </c>
      <c r="K185" s="34">
        <v>30</v>
      </c>
      <c r="L185" s="54">
        <f t="shared" si="24"/>
        <v>10</v>
      </c>
      <c r="M185" s="34">
        <v>7</v>
      </c>
      <c r="N185" s="56">
        <f t="shared" si="25"/>
        <v>32.6</v>
      </c>
      <c r="O185" s="56">
        <f t="shared" si="26"/>
        <v>19.56</v>
      </c>
      <c r="P185" s="56">
        <f>'Lab Component'!K185</f>
        <v>18</v>
      </c>
      <c r="Q185" s="56">
        <f t="shared" si="19"/>
        <v>37.56</v>
      </c>
      <c r="R185" s="56">
        <f t="shared" si="27"/>
        <v>38</v>
      </c>
      <c r="S185" s="3">
        <v>36</v>
      </c>
      <c r="T185" s="60">
        <v>13</v>
      </c>
      <c r="U185">
        <f t="shared" si="28"/>
        <v>49</v>
      </c>
    </row>
    <row r="186" spans="1:21">
      <c r="A186" s="4">
        <v>174</v>
      </c>
      <c r="B186" s="5" t="s">
        <v>373</v>
      </c>
      <c r="C186" s="13" t="s">
        <v>374</v>
      </c>
      <c r="D186" s="34">
        <v>44</v>
      </c>
      <c r="E186" s="49">
        <f t="shared" si="21"/>
        <v>26.4</v>
      </c>
      <c r="F186" s="34">
        <v>48</v>
      </c>
      <c r="G186" s="49">
        <f t="shared" si="22"/>
        <v>28.8</v>
      </c>
      <c r="H186" s="34">
        <v>47</v>
      </c>
      <c r="I186" s="49">
        <f t="shared" si="23"/>
        <v>28.2</v>
      </c>
      <c r="J186" s="49">
        <f t="shared" si="18"/>
        <v>27.8</v>
      </c>
      <c r="K186" s="34">
        <v>30</v>
      </c>
      <c r="L186" s="54">
        <f t="shared" si="24"/>
        <v>10</v>
      </c>
      <c r="M186" s="34">
        <v>10</v>
      </c>
      <c r="N186" s="56">
        <f t="shared" si="25"/>
        <v>47.8</v>
      </c>
      <c r="O186" s="56">
        <f t="shared" si="26"/>
        <v>28.68</v>
      </c>
      <c r="P186" s="56">
        <f>'Lab Component'!K186</f>
        <v>18</v>
      </c>
      <c r="Q186" s="56">
        <f t="shared" si="19"/>
        <v>46.68</v>
      </c>
      <c r="R186" s="56">
        <f t="shared" si="27"/>
        <v>47</v>
      </c>
      <c r="S186" s="3">
        <v>36</v>
      </c>
      <c r="T186" s="60">
        <v>14</v>
      </c>
      <c r="U186">
        <f t="shared" si="28"/>
        <v>50</v>
      </c>
    </row>
    <row r="187" spans="1:21">
      <c r="A187" s="4">
        <v>175</v>
      </c>
      <c r="B187" s="5" t="s">
        <v>375</v>
      </c>
      <c r="C187" s="13" t="s">
        <v>376</v>
      </c>
      <c r="D187" s="34">
        <v>39</v>
      </c>
      <c r="E187" s="49">
        <f t="shared" si="21"/>
        <v>23.4</v>
      </c>
      <c r="F187" s="34">
        <v>0</v>
      </c>
      <c r="G187" s="49">
        <f t="shared" si="22"/>
        <v>0</v>
      </c>
      <c r="H187" s="34">
        <v>43</v>
      </c>
      <c r="I187" s="49">
        <f t="shared" si="23"/>
        <v>25.8</v>
      </c>
      <c r="J187" s="49">
        <f t="shared" si="18"/>
        <v>16.4</v>
      </c>
      <c r="K187" s="34">
        <v>30</v>
      </c>
      <c r="L187" s="54">
        <f t="shared" si="24"/>
        <v>10</v>
      </c>
      <c r="M187" s="34">
        <v>6</v>
      </c>
      <c r="N187" s="56">
        <f t="shared" si="25"/>
        <v>32.4</v>
      </c>
      <c r="O187" s="56">
        <f t="shared" si="26"/>
        <v>19.44</v>
      </c>
      <c r="P187" s="56">
        <f>'Lab Component'!K187</f>
        <v>18</v>
      </c>
      <c r="Q187" s="56">
        <f t="shared" si="19"/>
        <v>37.44</v>
      </c>
      <c r="R187" s="56">
        <f t="shared" si="27"/>
        <v>38</v>
      </c>
      <c r="S187" s="3">
        <v>36</v>
      </c>
      <c r="T187" s="60">
        <v>15</v>
      </c>
      <c r="U187">
        <f t="shared" si="28"/>
        <v>51</v>
      </c>
    </row>
    <row r="188" spans="1:21">
      <c r="A188" s="4">
        <v>176</v>
      </c>
      <c r="B188" s="5" t="s">
        <v>377</v>
      </c>
      <c r="C188" s="13" t="s">
        <v>378</v>
      </c>
      <c r="D188" s="34">
        <v>44</v>
      </c>
      <c r="E188" s="49">
        <f t="shared" si="21"/>
        <v>26.4</v>
      </c>
      <c r="F188" s="34">
        <v>37</v>
      </c>
      <c r="G188" s="49">
        <f t="shared" si="22"/>
        <v>22.2</v>
      </c>
      <c r="H188" s="34">
        <v>45</v>
      </c>
      <c r="I188" s="49">
        <f t="shared" si="23"/>
        <v>27</v>
      </c>
      <c r="J188" s="49">
        <f t="shared" si="18"/>
        <v>25.2</v>
      </c>
      <c r="K188" s="34">
        <v>30</v>
      </c>
      <c r="L188" s="54">
        <f t="shared" si="24"/>
        <v>10</v>
      </c>
      <c r="M188" s="34">
        <v>9</v>
      </c>
      <c r="N188" s="56">
        <f t="shared" si="25"/>
        <v>44.2</v>
      </c>
      <c r="O188" s="56">
        <f t="shared" si="26"/>
        <v>26.52</v>
      </c>
      <c r="P188" s="56">
        <f>'Lab Component'!K188</f>
        <v>19</v>
      </c>
      <c r="Q188" s="56">
        <f t="shared" si="19"/>
        <v>45.52</v>
      </c>
      <c r="R188" s="56">
        <f t="shared" si="27"/>
        <v>46</v>
      </c>
      <c r="S188" s="3">
        <v>39</v>
      </c>
      <c r="T188" s="60">
        <v>16</v>
      </c>
      <c r="U188">
        <f t="shared" si="28"/>
        <v>55</v>
      </c>
    </row>
    <row r="189" spans="1:21">
      <c r="A189" s="4">
        <v>177</v>
      </c>
      <c r="B189" s="5" t="s">
        <v>379</v>
      </c>
      <c r="C189" s="13" t="s">
        <v>380</v>
      </c>
      <c r="D189" s="34">
        <v>40</v>
      </c>
      <c r="E189" s="49">
        <f t="shared" si="21"/>
        <v>24</v>
      </c>
      <c r="F189" s="34">
        <v>32</v>
      </c>
      <c r="G189" s="49">
        <f t="shared" si="22"/>
        <v>19.2</v>
      </c>
      <c r="H189" s="34">
        <v>38</v>
      </c>
      <c r="I189" s="49">
        <f t="shared" si="23"/>
        <v>22.8</v>
      </c>
      <c r="J189" s="49">
        <f t="shared" si="18"/>
        <v>22</v>
      </c>
      <c r="K189" s="34">
        <v>30</v>
      </c>
      <c r="L189" s="54">
        <f t="shared" si="24"/>
        <v>10</v>
      </c>
      <c r="M189" s="34">
        <v>8</v>
      </c>
      <c r="N189" s="56">
        <f t="shared" si="25"/>
        <v>40</v>
      </c>
      <c r="O189" s="56">
        <f t="shared" si="26"/>
        <v>24</v>
      </c>
      <c r="P189" s="56">
        <f>'Lab Component'!K189</f>
        <v>20</v>
      </c>
      <c r="Q189" s="56">
        <f t="shared" si="19"/>
        <v>44</v>
      </c>
      <c r="R189" s="56">
        <f t="shared" si="27"/>
        <v>44</v>
      </c>
      <c r="S189" s="3">
        <v>36</v>
      </c>
      <c r="T189" s="60">
        <v>12</v>
      </c>
      <c r="U189">
        <f t="shared" si="28"/>
        <v>48</v>
      </c>
    </row>
    <row r="190" spans="1:21">
      <c r="A190" s="4">
        <v>178</v>
      </c>
      <c r="B190" s="5" t="s">
        <v>381</v>
      </c>
      <c r="C190" s="13" t="s">
        <v>382</v>
      </c>
      <c r="D190" s="34">
        <v>43</v>
      </c>
      <c r="E190" s="49">
        <f t="shared" si="21"/>
        <v>25.8</v>
      </c>
      <c r="F190" s="34">
        <v>48</v>
      </c>
      <c r="G190" s="49">
        <f t="shared" si="22"/>
        <v>28.8</v>
      </c>
      <c r="H190" s="34">
        <v>46</v>
      </c>
      <c r="I190" s="49">
        <f t="shared" si="23"/>
        <v>27.6</v>
      </c>
      <c r="J190" s="49">
        <f t="shared" si="18"/>
        <v>27.4</v>
      </c>
      <c r="K190" s="34">
        <v>30</v>
      </c>
      <c r="L190" s="54">
        <f t="shared" si="24"/>
        <v>10</v>
      </c>
      <c r="M190" s="34">
        <v>9</v>
      </c>
      <c r="N190" s="56">
        <f t="shared" si="25"/>
        <v>46.4</v>
      </c>
      <c r="O190" s="56">
        <f t="shared" si="26"/>
        <v>27.84</v>
      </c>
      <c r="P190" s="56">
        <f>'Lab Component'!K190</f>
        <v>19</v>
      </c>
      <c r="Q190" s="56">
        <f t="shared" si="19"/>
        <v>46.84</v>
      </c>
      <c r="R190" s="56">
        <f t="shared" si="27"/>
        <v>47</v>
      </c>
      <c r="S190" s="3">
        <v>36</v>
      </c>
      <c r="T190" s="60">
        <v>11</v>
      </c>
      <c r="U190">
        <f t="shared" si="28"/>
        <v>47</v>
      </c>
    </row>
    <row r="191" spans="1:21">
      <c r="A191" s="4">
        <v>179</v>
      </c>
      <c r="B191" s="5" t="s">
        <v>383</v>
      </c>
      <c r="C191" s="13" t="s">
        <v>384</v>
      </c>
      <c r="D191" s="34">
        <v>42</v>
      </c>
      <c r="E191" s="49">
        <f t="shared" si="21"/>
        <v>25.2</v>
      </c>
      <c r="F191" s="34">
        <v>42</v>
      </c>
      <c r="G191" s="49">
        <f t="shared" si="22"/>
        <v>25.2</v>
      </c>
      <c r="H191" s="34">
        <v>43</v>
      </c>
      <c r="I191" s="49">
        <f t="shared" si="23"/>
        <v>25.8</v>
      </c>
      <c r="J191" s="49">
        <f t="shared" si="18"/>
        <v>25.4</v>
      </c>
      <c r="K191" s="57">
        <v>30</v>
      </c>
      <c r="L191" s="54">
        <f t="shared" si="24"/>
        <v>10</v>
      </c>
      <c r="M191" s="34">
        <v>10</v>
      </c>
      <c r="N191" s="56">
        <f t="shared" si="25"/>
        <v>45.4</v>
      </c>
      <c r="O191" s="56">
        <f t="shared" si="26"/>
        <v>27.24</v>
      </c>
      <c r="P191" s="56">
        <f>'Lab Component'!K191</f>
        <v>18</v>
      </c>
      <c r="Q191" s="56">
        <f t="shared" si="19"/>
        <v>45.24</v>
      </c>
      <c r="R191" s="56">
        <f t="shared" si="27"/>
        <v>46</v>
      </c>
      <c r="S191" s="3">
        <v>36</v>
      </c>
      <c r="T191" s="60">
        <v>11</v>
      </c>
      <c r="U191">
        <f t="shared" si="28"/>
        <v>47</v>
      </c>
    </row>
    <row r="192" spans="1:21">
      <c r="A192" s="4">
        <v>180</v>
      </c>
      <c r="B192" s="5" t="s">
        <v>385</v>
      </c>
      <c r="C192" s="13" t="s">
        <v>386</v>
      </c>
      <c r="D192" s="34">
        <v>40</v>
      </c>
      <c r="E192" s="49">
        <f t="shared" si="21"/>
        <v>24</v>
      </c>
      <c r="F192" s="34">
        <v>46</v>
      </c>
      <c r="G192" s="49">
        <f t="shared" si="22"/>
        <v>27.6</v>
      </c>
      <c r="H192" s="34">
        <v>39</v>
      </c>
      <c r="I192" s="49">
        <f t="shared" si="23"/>
        <v>23.4</v>
      </c>
      <c r="J192" s="49">
        <f t="shared" si="18"/>
        <v>25</v>
      </c>
      <c r="K192" s="34">
        <v>30</v>
      </c>
      <c r="L192" s="54">
        <f t="shared" si="24"/>
        <v>10</v>
      </c>
      <c r="M192" s="34">
        <v>10</v>
      </c>
      <c r="N192" s="34">
        <f t="shared" si="25"/>
        <v>45</v>
      </c>
      <c r="O192" s="56">
        <f t="shared" si="26"/>
        <v>27</v>
      </c>
      <c r="P192" s="56">
        <f>'Lab Component'!K192</f>
        <v>19</v>
      </c>
      <c r="Q192" s="56">
        <f t="shared" si="19"/>
        <v>46</v>
      </c>
      <c r="R192" s="56">
        <f t="shared" si="27"/>
        <v>46</v>
      </c>
      <c r="S192" s="3">
        <v>36</v>
      </c>
      <c r="T192" s="60">
        <v>11</v>
      </c>
      <c r="U192">
        <f t="shared" si="28"/>
        <v>47</v>
      </c>
    </row>
    <row r="193" spans="1:21">
      <c r="A193" s="4">
        <v>181</v>
      </c>
      <c r="B193" s="5" t="s">
        <v>387</v>
      </c>
      <c r="C193" s="13" t="s">
        <v>388</v>
      </c>
      <c r="D193" s="34">
        <v>22</v>
      </c>
      <c r="E193" s="49">
        <f t="shared" si="21"/>
        <v>13.2</v>
      </c>
      <c r="F193" s="34">
        <v>21</v>
      </c>
      <c r="G193" s="49">
        <f t="shared" si="22"/>
        <v>12.6</v>
      </c>
      <c r="H193" s="34">
        <v>27</v>
      </c>
      <c r="I193" s="49">
        <f t="shared" si="23"/>
        <v>16.2</v>
      </c>
      <c r="J193" s="49">
        <f t="shared" si="18"/>
        <v>14</v>
      </c>
      <c r="K193" s="34">
        <v>30</v>
      </c>
      <c r="L193" s="54">
        <f t="shared" si="24"/>
        <v>10</v>
      </c>
      <c r="M193" s="34">
        <v>8</v>
      </c>
      <c r="N193" s="34">
        <f t="shared" si="25"/>
        <v>32</v>
      </c>
      <c r="O193" s="56">
        <f t="shared" si="26"/>
        <v>19.2</v>
      </c>
      <c r="P193" s="56">
        <f>'Lab Component'!K193</f>
        <v>18</v>
      </c>
      <c r="Q193" s="56">
        <f t="shared" si="19"/>
        <v>37.2</v>
      </c>
      <c r="R193" s="56">
        <f t="shared" si="27"/>
        <v>38</v>
      </c>
      <c r="S193" s="3">
        <v>40</v>
      </c>
      <c r="T193" s="60">
        <v>11</v>
      </c>
      <c r="U193">
        <f t="shared" si="28"/>
        <v>51</v>
      </c>
    </row>
    <row r="194" spans="1:21">
      <c r="A194" s="4">
        <v>182</v>
      </c>
      <c r="B194" s="5" t="s">
        <v>389</v>
      </c>
      <c r="C194" s="13" t="s">
        <v>390</v>
      </c>
      <c r="D194" s="34">
        <v>45</v>
      </c>
      <c r="E194" s="49">
        <f t="shared" si="21"/>
        <v>27</v>
      </c>
      <c r="F194" s="34">
        <v>36</v>
      </c>
      <c r="G194" s="49">
        <f t="shared" si="22"/>
        <v>21.6</v>
      </c>
      <c r="H194" s="34">
        <v>44</v>
      </c>
      <c r="I194" s="49">
        <f t="shared" si="23"/>
        <v>26.4</v>
      </c>
      <c r="J194" s="49">
        <f t="shared" si="18"/>
        <v>25</v>
      </c>
      <c r="K194" s="34">
        <v>30</v>
      </c>
      <c r="L194" s="54">
        <f t="shared" si="24"/>
        <v>10</v>
      </c>
      <c r="M194" s="34">
        <v>8</v>
      </c>
      <c r="N194" s="56">
        <f t="shared" si="25"/>
        <v>43</v>
      </c>
      <c r="O194" s="56">
        <f t="shared" si="26"/>
        <v>25.8</v>
      </c>
      <c r="P194" s="56">
        <f>'Lab Component'!K194</f>
        <v>19</v>
      </c>
      <c r="Q194" s="56">
        <f t="shared" si="19"/>
        <v>44.8</v>
      </c>
      <c r="R194" s="56">
        <f t="shared" si="27"/>
        <v>45</v>
      </c>
      <c r="S194" s="3">
        <v>36</v>
      </c>
      <c r="T194" s="60">
        <v>11</v>
      </c>
      <c r="U194">
        <f t="shared" si="28"/>
        <v>47</v>
      </c>
    </row>
    <row r="195" spans="1:21">
      <c r="A195" s="4">
        <v>183</v>
      </c>
      <c r="B195" s="5" t="s">
        <v>391</v>
      </c>
      <c r="C195" s="13" t="s">
        <v>392</v>
      </c>
      <c r="D195" s="34">
        <v>40</v>
      </c>
      <c r="E195" s="49">
        <f t="shared" si="21"/>
        <v>24</v>
      </c>
      <c r="F195" s="34">
        <v>39</v>
      </c>
      <c r="G195" s="49">
        <f t="shared" si="22"/>
        <v>23.4</v>
      </c>
      <c r="H195" s="34">
        <v>44</v>
      </c>
      <c r="I195" s="49">
        <f t="shared" si="23"/>
        <v>26.4</v>
      </c>
      <c r="J195" s="49">
        <f t="shared" si="18"/>
        <v>24.6</v>
      </c>
      <c r="K195" s="34">
        <v>30</v>
      </c>
      <c r="L195" s="54">
        <f t="shared" si="24"/>
        <v>10</v>
      </c>
      <c r="M195" s="34">
        <v>8</v>
      </c>
      <c r="N195" s="56">
        <f t="shared" si="25"/>
        <v>42.6</v>
      </c>
      <c r="O195" s="56">
        <f t="shared" si="26"/>
        <v>25.56</v>
      </c>
      <c r="P195" s="56">
        <f>'Lab Component'!K195</f>
        <v>18</v>
      </c>
      <c r="Q195" s="56">
        <f t="shared" si="19"/>
        <v>43.56</v>
      </c>
      <c r="R195" s="56">
        <f t="shared" si="27"/>
        <v>44</v>
      </c>
      <c r="S195" s="3">
        <v>36</v>
      </c>
      <c r="T195" s="60">
        <v>12</v>
      </c>
      <c r="U195">
        <f t="shared" si="28"/>
        <v>48</v>
      </c>
    </row>
    <row r="196" spans="1:21">
      <c r="A196" s="4">
        <v>184</v>
      </c>
      <c r="B196" s="5" t="s">
        <v>393</v>
      </c>
      <c r="C196" s="13" t="s">
        <v>394</v>
      </c>
      <c r="D196" s="34">
        <v>31</v>
      </c>
      <c r="E196" s="49">
        <f t="shared" si="21"/>
        <v>18.6</v>
      </c>
      <c r="F196" s="34">
        <v>26</v>
      </c>
      <c r="G196" s="49">
        <f t="shared" si="22"/>
        <v>15.6</v>
      </c>
      <c r="H196" s="34">
        <v>45</v>
      </c>
      <c r="I196" s="49">
        <f t="shared" si="23"/>
        <v>27</v>
      </c>
      <c r="J196" s="49">
        <f t="shared" si="18"/>
        <v>20.4</v>
      </c>
      <c r="K196" s="34">
        <v>30</v>
      </c>
      <c r="L196" s="54">
        <f t="shared" si="24"/>
        <v>10</v>
      </c>
      <c r="M196" s="34">
        <v>8</v>
      </c>
      <c r="N196" s="56">
        <f t="shared" si="25"/>
        <v>38.4</v>
      </c>
      <c r="O196" s="56">
        <f t="shared" si="26"/>
        <v>23.04</v>
      </c>
      <c r="P196" s="56">
        <f>'Lab Component'!K196</f>
        <v>18</v>
      </c>
      <c r="Q196" s="56">
        <f t="shared" si="19"/>
        <v>41.04</v>
      </c>
      <c r="R196" s="56">
        <f t="shared" si="27"/>
        <v>42</v>
      </c>
      <c r="S196" s="3">
        <v>36</v>
      </c>
      <c r="T196" s="60">
        <v>11</v>
      </c>
      <c r="U196">
        <f t="shared" si="28"/>
        <v>47</v>
      </c>
    </row>
    <row r="197" spans="1:21">
      <c r="A197" s="4">
        <v>185</v>
      </c>
      <c r="B197" s="5" t="s">
        <v>395</v>
      </c>
      <c r="C197" s="13" t="s">
        <v>396</v>
      </c>
      <c r="D197" s="34">
        <v>47</v>
      </c>
      <c r="E197" s="49">
        <f t="shared" si="21"/>
        <v>28.2</v>
      </c>
      <c r="F197" s="34">
        <v>44</v>
      </c>
      <c r="G197" s="49">
        <f t="shared" si="22"/>
        <v>26.4</v>
      </c>
      <c r="H197" s="34">
        <v>46</v>
      </c>
      <c r="I197" s="49">
        <f t="shared" si="23"/>
        <v>27.6</v>
      </c>
      <c r="J197" s="49">
        <f t="shared" si="18"/>
        <v>27.4</v>
      </c>
      <c r="K197" s="34">
        <v>30</v>
      </c>
      <c r="L197" s="54">
        <f t="shared" si="24"/>
        <v>10</v>
      </c>
      <c r="M197" s="34">
        <v>10</v>
      </c>
      <c r="N197" s="56">
        <f t="shared" si="25"/>
        <v>47.4</v>
      </c>
      <c r="O197" s="56">
        <f t="shared" si="26"/>
        <v>28.44</v>
      </c>
      <c r="P197" s="56">
        <f>'Lab Component'!K197</f>
        <v>20</v>
      </c>
      <c r="Q197" s="56">
        <f t="shared" si="19"/>
        <v>48.44</v>
      </c>
      <c r="R197" s="56">
        <f t="shared" si="27"/>
        <v>49</v>
      </c>
      <c r="S197" s="3">
        <v>41</v>
      </c>
      <c r="T197" s="60">
        <v>12</v>
      </c>
      <c r="U197">
        <f t="shared" si="28"/>
        <v>53</v>
      </c>
    </row>
    <row r="198" spans="1:21">
      <c r="A198" s="4">
        <v>186</v>
      </c>
      <c r="B198" s="5" t="s">
        <v>397</v>
      </c>
      <c r="C198" s="13" t="s">
        <v>398</v>
      </c>
      <c r="D198" s="34">
        <v>28</v>
      </c>
      <c r="E198" s="49">
        <f t="shared" si="21"/>
        <v>16.8</v>
      </c>
      <c r="F198" s="34">
        <v>26</v>
      </c>
      <c r="G198" s="49">
        <f t="shared" si="22"/>
        <v>15.6</v>
      </c>
      <c r="H198" s="34">
        <v>38</v>
      </c>
      <c r="I198" s="49">
        <f t="shared" si="23"/>
        <v>22.8</v>
      </c>
      <c r="J198" s="49">
        <f t="shared" si="18"/>
        <v>18.4</v>
      </c>
      <c r="K198" s="34">
        <v>30</v>
      </c>
      <c r="L198" s="54">
        <f t="shared" si="24"/>
        <v>10</v>
      </c>
      <c r="M198" s="34">
        <v>7</v>
      </c>
      <c r="N198" s="56">
        <f t="shared" si="25"/>
        <v>35.4</v>
      </c>
      <c r="O198" s="56">
        <f t="shared" si="26"/>
        <v>21.24</v>
      </c>
      <c r="P198" s="56">
        <f>'Lab Component'!K198</f>
        <v>18</v>
      </c>
      <c r="Q198" s="56">
        <f t="shared" si="19"/>
        <v>39.24</v>
      </c>
      <c r="R198" s="56">
        <f t="shared" si="27"/>
        <v>40</v>
      </c>
      <c r="S198" s="3">
        <v>38</v>
      </c>
      <c r="T198" s="60">
        <v>11</v>
      </c>
      <c r="U198">
        <f t="shared" si="28"/>
        <v>49</v>
      </c>
    </row>
    <row r="199" spans="1:21">
      <c r="A199" s="4">
        <v>187</v>
      </c>
      <c r="B199" s="5" t="s">
        <v>399</v>
      </c>
      <c r="C199" s="13" t="s">
        <v>400</v>
      </c>
      <c r="D199" s="34">
        <v>35</v>
      </c>
      <c r="E199" s="49">
        <f t="shared" si="21"/>
        <v>21</v>
      </c>
      <c r="F199" s="34">
        <v>37</v>
      </c>
      <c r="G199" s="49">
        <f t="shared" si="22"/>
        <v>22.2</v>
      </c>
      <c r="H199" s="34">
        <v>44</v>
      </c>
      <c r="I199" s="49">
        <f t="shared" si="23"/>
        <v>26.4</v>
      </c>
      <c r="J199" s="49">
        <f t="shared" si="18"/>
        <v>23.2</v>
      </c>
      <c r="K199" s="34">
        <v>30</v>
      </c>
      <c r="L199" s="54">
        <f t="shared" si="24"/>
        <v>10</v>
      </c>
      <c r="M199" s="34">
        <v>8</v>
      </c>
      <c r="N199" s="56">
        <f t="shared" si="25"/>
        <v>41.2</v>
      </c>
      <c r="O199" s="56">
        <f t="shared" si="26"/>
        <v>24.72</v>
      </c>
      <c r="P199" s="56">
        <f>'Lab Component'!K199</f>
        <v>19</v>
      </c>
      <c r="Q199" s="56">
        <f t="shared" si="19"/>
        <v>43.72</v>
      </c>
      <c r="R199" s="56">
        <f t="shared" si="27"/>
        <v>44</v>
      </c>
      <c r="S199" s="3">
        <v>36</v>
      </c>
      <c r="T199" s="60">
        <v>11</v>
      </c>
      <c r="U199">
        <f t="shared" si="28"/>
        <v>47</v>
      </c>
    </row>
    <row r="200" spans="1:21">
      <c r="A200" s="4">
        <v>188</v>
      </c>
      <c r="B200" s="5" t="s">
        <v>401</v>
      </c>
      <c r="C200" s="13" t="s">
        <v>402</v>
      </c>
      <c r="D200" s="34">
        <v>25</v>
      </c>
      <c r="E200" s="49">
        <f t="shared" si="21"/>
        <v>15</v>
      </c>
      <c r="F200" s="34">
        <v>22</v>
      </c>
      <c r="G200" s="49">
        <f t="shared" si="22"/>
        <v>13.2</v>
      </c>
      <c r="H200" s="34">
        <v>16</v>
      </c>
      <c r="I200" s="49">
        <f t="shared" si="23"/>
        <v>9.6</v>
      </c>
      <c r="J200" s="49">
        <f t="shared" si="18"/>
        <v>12.6</v>
      </c>
      <c r="K200" s="34">
        <v>30</v>
      </c>
      <c r="L200" s="54">
        <f t="shared" si="24"/>
        <v>10</v>
      </c>
      <c r="M200" s="34">
        <v>7</v>
      </c>
      <c r="N200" s="56">
        <f t="shared" si="25"/>
        <v>29.6</v>
      </c>
      <c r="O200" s="56">
        <f t="shared" si="26"/>
        <v>17.76</v>
      </c>
      <c r="P200" s="56">
        <f>'Lab Component'!K200</f>
        <v>17</v>
      </c>
      <c r="Q200" s="56">
        <f t="shared" si="19"/>
        <v>34.76</v>
      </c>
      <c r="R200" s="56">
        <f t="shared" si="27"/>
        <v>35</v>
      </c>
      <c r="S200" s="3">
        <v>36</v>
      </c>
      <c r="T200" s="60">
        <v>11</v>
      </c>
      <c r="U200">
        <f t="shared" si="28"/>
        <v>47</v>
      </c>
    </row>
    <row r="201" spans="1:21">
      <c r="A201" s="4">
        <v>189</v>
      </c>
      <c r="B201" s="5" t="s">
        <v>403</v>
      </c>
      <c r="C201" s="13" t="s">
        <v>404</v>
      </c>
      <c r="D201" s="34">
        <v>46</v>
      </c>
      <c r="E201" s="49">
        <f t="shared" si="21"/>
        <v>27.6</v>
      </c>
      <c r="F201" s="34">
        <v>42</v>
      </c>
      <c r="G201" s="49">
        <f t="shared" si="22"/>
        <v>25.2</v>
      </c>
      <c r="H201" s="34">
        <v>45</v>
      </c>
      <c r="I201" s="49">
        <f t="shared" si="23"/>
        <v>27</v>
      </c>
      <c r="J201" s="49">
        <f t="shared" si="18"/>
        <v>26.6</v>
      </c>
      <c r="K201" s="34">
        <v>30</v>
      </c>
      <c r="L201" s="54">
        <f t="shared" si="24"/>
        <v>10</v>
      </c>
      <c r="M201" s="34">
        <v>9</v>
      </c>
      <c r="N201" s="34">
        <f t="shared" si="25"/>
        <v>45.6</v>
      </c>
      <c r="O201" s="56">
        <f t="shared" si="26"/>
        <v>27.36</v>
      </c>
      <c r="P201" s="56">
        <f>'Lab Component'!K201</f>
        <v>18</v>
      </c>
      <c r="Q201" s="56">
        <f t="shared" si="19"/>
        <v>45.36</v>
      </c>
      <c r="R201" s="56">
        <f t="shared" si="27"/>
        <v>46</v>
      </c>
      <c r="S201" s="3">
        <v>36</v>
      </c>
      <c r="T201" s="60">
        <v>12</v>
      </c>
      <c r="U201">
        <f t="shared" si="28"/>
        <v>48</v>
      </c>
    </row>
    <row r="202" spans="1:19">
      <c r="A202" s="4">
        <v>190</v>
      </c>
      <c r="B202" s="4" t="s">
        <v>405</v>
      </c>
      <c r="C202" s="14" t="s">
        <v>406</v>
      </c>
      <c r="D202" s="34"/>
      <c r="E202" s="49">
        <f t="shared" si="21"/>
        <v>0</v>
      </c>
      <c r="F202" s="34"/>
      <c r="G202" s="49">
        <f t="shared" si="22"/>
        <v>0</v>
      </c>
      <c r="H202" s="34"/>
      <c r="I202" s="49">
        <f t="shared" si="23"/>
        <v>0</v>
      </c>
      <c r="J202" s="49">
        <f t="shared" si="18"/>
        <v>0</v>
      </c>
      <c r="K202" s="34">
        <v>30</v>
      </c>
      <c r="L202" s="54">
        <f t="shared" si="24"/>
        <v>10</v>
      </c>
      <c r="M202" s="34">
        <v>10</v>
      </c>
      <c r="N202" s="34">
        <f t="shared" si="25"/>
        <v>20</v>
      </c>
      <c r="O202" s="56">
        <f t="shared" si="26"/>
        <v>12</v>
      </c>
      <c r="P202" s="56">
        <f>'Lab Component'!K202</f>
        <v>20</v>
      </c>
      <c r="Q202" s="56">
        <f t="shared" si="19"/>
        <v>32</v>
      </c>
      <c r="R202" s="56">
        <f t="shared" si="27"/>
        <v>32</v>
      </c>
      <c r="S202" s="3">
        <v>36</v>
      </c>
    </row>
    <row r="203" spans="1:19">
      <c r="A203" s="4">
        <v>191</v>
      </c>
      <c r="B203" s="4" t="s">
        <v>407</v>
      </c>
      <c r="C203" s="14" t="s">
        <v>408</v>
      </c>
      <c r="D203" s="34"/>
      <c r="E203" s="49">
        <f t="shared" si="21"/>
        <v>0</v>
      </c>
      <c r="F203" s="34"/>
      <c r="G203" s="49">
        <f t="shared" si="22"/>
        <v>0</v>
      </c>
      <c r="H203" s="34"/>
      <c r="I203" s="49">
        <f t="shared" si="23"/>
        <v>0</v>
      </c>
      <c r="J203" s="49">
        <f t="shared" si="18"/>
        <v>0</v>
      </c>
      <c r="K203" s="34">
        <v>30</v>
      </c>
      <c r="L203" s="54">
        <f t="shared" si="24"/>
        <v>10</v>
      </c>
      <c r="M203" s="34"/>
      <c r="N203" s="56">
        <f t="shared" si="25"/>
        <v>10</v>
      </c>
      <c r="O203" s="56">
        <f t="shared" si="26"/>
        <v>6</v>
      </c>
      <c r="P203" s="56">
        <f>'Lab Component'!K203</f>
        <v>20</v>
      </c>
      <c r="Q203" s="56">
        <f t="shared" si="19"/>
        <v>26</v>
      </c>
      <c r="R203" s="56">
        <f t="shared" si="27"/>
        <v>26</v>
      </c>
      <c r="S203" s="3">
        <v>36</v>
      </c>
    </row>
    <row r="204" spans="1:19">
      <c r="A204" s="4">
        <v>192</v>
      </c>
      <c r="B204" s="4" t="s">
        <v>409</v>
      </c>
      <c r="C204" s="14" t="s">
        <v>410</v>
      </c>
      <c r="D204" s="34">
        <v>25</v>
      </c>
      <c r="E204" s="49">
        <f t="shared" si="21"/>
        <v>15</v>
      </c>
      <c r="F204" s="34">
        <v>36</v>
      </c>
      <c r="G204" s="49">
        <f t="shared" si="22"/>
        <v>21.6</v>
      </c>
      <c r="H204" s="34">
        <v>29</v>
      </c>
      <c r="I204" s="49">
        <f t="shared" si="23"/>
        <v>17.4</v>
      </c>
      <c r="J204" s="49">
        <f t="shared" si="18"/>
        <v>18</v>
      </c>
      <c r="K204" s="34">
        <v>30</v>
      </c>
      <c r="L204" s="54">
        <f t="shared" si="24"/>
        <v>10</v>
      </c>
      <c r="M204" s="34">
        <v>7</v>
      </c>
      <c r="N204" s="56">
        <f t="shared" si="25"/>
        <v>35</v>
      </c>
      <c r="O204" s="56">
        <f t="shared" si="26"/>
        <v>21</v>
      </c>
      <c r="P204" s="56">
        <f>'Lab Component'!K204</f>
        <v>18</v>
      </c>
      <c r="Q204" s="56">
        <f t="shared" si="19"/>
        <v>39</v>
      </c>
      <c r="R204" s="56">
        <f t="shared" si="27"/>
        <v>39</v>
      </c>
      <c r="S204" s="3"/>
    </row>
    <row r="205" spans="1:21">
      <c r="A205" s="4">
        <v>193</v>
      </c>
      <c r="B205" s="4" t="s">
        <v>411</v>
      </c>
      <c r="C205" s="14" t="s">
        <v>412</v>
      </c>
      <c r="D205" s="34"/>
      <c r="E205" s="49">
        <f t="shared" si="21"/>
        <v>0</v>
      </c>
      <c r="F205" s="34"/>
      <c r="G205" s="49">
        <f t="shared" si="22"/>
        <v>0</v>
      </c>
      <c r="H205" s="34"/>
      <c r="I205" s="49">
        <f t="shared" si="23"/>
        <v>0</v>
      </c>
      <c r="J205" s="49">
        <f t="shared" ref="J205:J219" si="29">((E205+G205+I205)/3)</f>
        <v>0</v>
      </c>
      <c r="K205" s="34">
        <v>30</v>
      </c>
      <c r="L205" s="54">
        <f t="shared" si="24"/>
        <v>10</v>
      </c>
      <c r="M205" s="34"/>
      <c r="N205" s="56">
        <f t="shared" si="25"/>
        <v>10</v>
      </c>
      <c r="O205" s="56">
        <f t="shared" si="26"/>
        <v>6</v>
      </c>
      <c r="P205" s="56">
        <f>'Lab Component'!K205</f>
        <v>19</v>
      </c>
      <c r="Q205" s="56">
        <f t="shared" ref="Q205:Q219" si="30">(O205+P205)</f>
        <v>25</v>
      </c>
      <c r="R205" s="56">
        <f t="shared" si="27"/>
        <v>25</v>
      </c>
      <c r="S205" s="3">
        <v>36</v>
      </c>
      <c r="T205">
        <v>11</v>
      </c>
      <c r="U205">
        <f>SUM(S205:T205)</f>
        <v>47</v>
      </c>
    </row>
    <row r="206" spans="1:21">
      <c r="A206" s="4">
        <v>194</v>
      </c>
      <c r="B206" s="4" t="s">
        <v>413</v>
      </c>
      <c r="C206" s="14" t="s">
        <v>414</v>
      </c>
      <c r="D206" s="34">
        <v>24</v>
      </c>
      <c r="E206" s="49">
        <f t="shared" ref="E206:E219" si="31">((D206*30)/50)</f>
        <v>14.4</v>
      </c>
      <c r="F206" s="34">
        <v>42</v>
      </c>
      <c r="G206" s="49">
        <f t="shared" ref="G206:G219" si="32">((F206*30)/50)</f>
        <v>25.2</v>
      </c>
      <c r="H206" s="34"/>
      <c r="I206" s="49">
        <f t="shared" ref="I206:I219" si="33">((H206*30)/50)</f>
        <v>0</v>
      </c>
      <c r="J206" s="49">
        <f t="shared" si="29"/>
        <v>13.2</v>
      </c>
      <c r="K206" s="34">
        <v>30</v>
      </c>
      <c r="L206" s="54">
        <f t="shared" ref="L206:L219" si="34">((K206*10)/30)</f>
        <v>10</v>
      </c>
      <c r="M206" s="34">
        <v>7</v>
      </c>
      <c r="N206" s="56">
        <f t="shared" ref="N206:N219" si="35">SUM(J206,L206,M206)</f>
        <v>30.2</v>
      </c>
      <c r="O206" s="56">
        <f t="shared" ref="O206:O219" si="36">(N206/50)*30</f>
        <v>18.12</v>
      </c>
      <c r="P206" s="56">
        <f>'Lab Component'!K206</f>
        <v>18</v>
      </c>
      <c r="Q206" s="56">
        <f t="shared" si="30"/>
        <v>36.12</v>
      </c>
      <c r="R206" s="56">
        <f t="shared" ref="R206:R219" si="37">ROUNDUP(Q206,0)</f>
        <v>37</v>
      </c>
      <c r="S206" s="3">
        <v>37</v>
      </c>
      <c r="T206">
        <v>12</v>
      </c>
      <c r="U206">
        <f>SUM(S206:T206)</f>
        <v>49</v>
      </c>
    </row>
    <row r="207" spans="1:19">
      <c r="A207" s="4">
        <v>195</v>
      </c>
      <c r="B207" s="4" t="s">
        <v>415</v>
      </c>
      <c r="C207" s="14" t="s">
        <v>416</v>
      </c>
      <c r="D207" s="34"/>
      <c r="E207" s="49">
        <f t="shared" si="31"/>
        <v>0</v>
      </c>
      <c r="F207" s="34"/>
      <c r="G207" s="49">
        <f t="shared" si="32"/>
        <v>0</v>
      </c>
      <c r="H207" s="34"/>
      <c r="I207" s="49">
        <f t="shared" si="33"/>
        <v>0</v>
      </c>
      <c r="J207" s="49">
        <f t="shared" si="29"/>
        <v>0</v>
      </c>
      <c r="K207" s="34">
        <v>30</v>
      </c>
      <c r="L207" s="54">
        <f t="shared" si="34"/>
        <v>10</v>
      </c>
      <c r="M207" s="34"/>
      <c r="N207" s="56">
        <f t="shared" si="35"/>
        <v>10</v>
      </c>
      <c r="O207" s="56">
        <f t="shared" si="36"/>
        <v>6</v>
      </c>
      <c r="P207" s="56">
        <f>'Lab Component'!K207</f>
        <v>19</v>
      </c>
      <c r="Q207" s="56">
        <f t="shared" si="30"/>
        <v>25</v>
      </c>
      <c r="R207" s="56">
        <f t="shared" si="37"/>
        <v>25</v>
      </c>
      <c r="S207" s="3"/>
    </row>
    <row r="208" spans="1:19">
      <c r="A208" s="4">
        <v>196</v>
      </c>
      <c r="B208" s="4" t="s">
        <v>417</v>
      </c>
      <c r="C208" s="14" t="s">
        <v>418</v>
      </c>
      <c r="D208" s="34"/>
      <c r="E208" s="49">
        <f t="shared" si="31"/>
        <v>0</v>
      </c>
      <c r="F208" s="34"/>
      <c r="G208" s="49">
        <f t="shared" si="32"/>
        <v>0</v>
      </c>
      <c r="H208" s="34"/>
      <c r="I208" s="49">
        <f t="shared" si="33"/>
        <v>0</v>
      </c>
      <c r="J208" s="49">
        <f t="shared" si="29"/>
        <v>0</v>
      </c>
      <c r="K208" s="34">
        <v>30</v>
      </c>
      <c r="L208" s="54">
        <f t="shared" si="34"/>
        <v>10</v>
      </c>
      <c r="M208" s="34"/>
      <c r="N208" s="56">
        <f t="shared" si="35"/>
        <v>10</v>
      </c>
      <c r="O208" s="56">
        <f t="shared" si="36"/>
        <v>6</v>
      </c>
      <c r="P208" s="56">
        <f>'Lab Component'!K208</f>
        <v>19</v>
      </c>
      <c r="Q208" s="56">
        <f t="shared" si="30"/>
        <v>25</v>
      </c>
      <c r="R208" s="56">
        <f t="shared" si="37"/>
        <v>25</v>
      </c>
      <c r="S208" s="3"/>
    </row>
    <row r="209" spans="1:19">
      <c r="A209" s="4">
        <v>197</v>
      </c>
      <c r="B209" s="4" t="s">
        <v>419</v>
      </c>
      <c r="C209" s="14" t="s">
        <v>420</v>
      </c>
      <c r="D209" s="34"/>
      <c r="E209" s="49">
        <f t="shared" si="31"/>
        <v>0</v>
      </c>
      <c r="F209" s="34"/>
      <c r="G209" s="49">
        <f t="shared" si="32"/>
        <v>0</v>
      </c>
      <c r="H209" s="34"/>
      <c r="I209" s="49">
        <f t="shared" si="33"/>
        <v>0</v>
      </c>
      <c r="J209" s="49">
        <f t="shared" si="29"/>
        <v>0</v>
      </c>
      <c r="K209" s="34">
        <v>30</v>
      </c>
      <c r="L209" s="54">
        <f t="shared" si="34"/>
        <v>10</v>
      </c>
      <c r="M209" s="34"/>
      <c r="N209" s="56">
        <f t="shared" si="35"/>
        <v>10</v>
      </c>
      <c r="O209" s="56">
        <f t="shared" si="36"/>
        <v>6</v>
      </c>
      <c r="P209" s="56">
        <f>'Lab Component'!K209</f>
        <v>20</v>
      </c>
      <c r="Q209" s="56">
        <f t="shared" si="30"/>
        <v>26</v>
      </c>
      <c r="R209" s="56">
        <f t="shared" si="37"/>
        <v>26</v>
      </c>
      <c r="S209" s="3"/>
    </row>
    <row r="210" spans="1:19">
      <c r="A210" s="4">
        <v>198</v>
      </c>
      <c r="B210" s="4" t="s">
        <v>421</v>
      </c>
      <c r="C210" s="14" t="s">
        <v>422</v>
      </c>
      <c r="D210" s="34">
        <v>48</v>
      </c>
      <c r="E210" s="49">
        <f t="shared" si="31"/>
        <v>28.8</v>
      </c>
      <c r="F210" s="34">
        <v>43</v>
      </c>
      <c r="G210" s="49">
        <f t="shared" si="32"/>
        <v>25.8</v>
      </c>
      <c r="H210" s="34">
        <v>43</v>
      </c>
      <c r="I210" s="49">
        <f t="shared" si="33"/>
        <v>25.8</v>
      </c>
      <c r="J210" s="49">
        <f t="shared" si="29"/>
        <v>26.8</v>
      </c>
      <c r="K210" s="34">
        <v>30</v>
      </c>
      <c r="L210" s="54">
        <f t="shared" si="34"/>
        <v>10</v>
      </c>
      <c r="M210" s="34">
        <v>9.5</v>
      </c>
      <c r="N210" s="34">
        <f t="shared" si="35"/>
        <v>46.3</v>
      </c>
      <c r="O210" s="56">
        <f t="shared" si="36"/>
        <v>27.78</v>
      </c>
      <c r="P210" s="56">
        <f>'Lab Component'!K210</f>
        <v>18</v>
      </c>
      <c r="Q210" s="56">
        <f t="shared" si="30"/>
        <v>45.78</v>
      </c>
      <c r="R210" s="56">
        <f t="shared" si="37"/>
        <v>46</v>
      </c>
      <c r="S210" s="3">
        <v>36</v>
      </c>
    </row>
    <row r="211" spans="1:19">
      <c r="A211" s="4">
        <v>199</v>
      </c>
      <c r="B211" s="4" t="s">
        <v>423</v>
      </c>
      <c r="C211" s="14" t="s">
        <v>424</v>
      </c>
      <c r="D211" s="34">
        <v>35</v>
      </c>
      <c r="E211" s="49">
        <f t="shared" si="31"/>
        <v>21</v>
      </c>
      <c r="F211" s="34">
        <v>32</v>
      </c>
      <c r="G211" s="49">
        <f t="shared" si="32"/>
        <v>19.2</v>
      </c>
      <c r="H211" s="34">
        <v>43</v>
      </c>
      <c r="I211" s="49">
        <f t="shared" si="33"/>
        <v>25.8</v>
      </c>
      <c r="J211" s="49">
        <f t="shared" si="29"/>
        <v>22</v>
      </c>
      <c r="K211" s="34">
        <v>30</v>
      </c>
      <c r="L211" s="54">
        <f t="shared" si="34"/>
        <v>10</v>
      </c>
      <c r="M211" s="34">
        <v>10</v>
      </c>
      <c r="N211" s="34">
        <f t="shared" si="35"/>
        <v>42</v>
      </c>
      <c r="O211" s="56">
        <f t="shared" si="36"/>
        <v>25.2</v>
      </c>
      <c r="P211" s="56">
        <f>'Lab Component'!K211</f>
        <v>18</v>
      </c>
      <c r="Q211" s="56">
        <f t="shared" si="30"/>
        <v>43.2</v>
      </c>
      <c r="R211" s="56">
        <f t="shared" si="37"/>
        <v>44</v>
      </c>
      <c r="S211" s="3">
        <v>36</v>
      </c>
    </row>
    <row r="212" spans="1:21">
      <c r="A212" s="4">
        <v>200</v>
      </c>
      <c r="B212" s="4" t="s">
        <v>425</v>
      </c>
      <c r="C212" s="14" t="s">
        <v>426</v>
      </c>
      <c r="D212" s="34">
        <v>35</v>
      </c>
      <c r="E212" s="49">
        <f t="shared" si="31"/>
        <v>21</v>
      </c>
      <c r="F212" s="34">
        <v>39</v>
      </c>
      <c r="G212" s="49">
        <f t="shared" si="32"/>
        <v>23.4</v>
      </c>
      <c r="H212" s="34">
        <v>26</v>
      </c>
      <c r="I212" s="49">
        <f>((H212*30)/50)</f>
        <v>15.6</v>
      </c>
      <c r="J212" s="49">
        <f t="shared" si="29"/>
        <v>20</v>
      </c>
      <c r="K212" s="34">
        <v>30</v>
      </c>
      <c r="L212" s="54">
        <f t="shared" si="34"/>
        <v>10</v>
      </c>
      <c r="M212" s="34">
        <v>8</v>
      </c>
      <c r="N212" s="56">
        <f t="shared" si="35"/>
        <v>38</v>
      </c>
      <c r="O212" s="56">
        <f t="shared" si="36"/>
        <v>22.8</v>
      </c>
      <c r="P212" s="56">
        <f>'Lab Component'!K212</f>
        <v>19</v>
      </c>
      <c r="Q212" s="56">
        <f t="shared" si="30"/>
        <v>41.8</v>
      </c>
      <c r="R212" s="56">
        <f t="shared" si="37"/>
        <v>42</v>
      </c>
      <c r="S212" s="3">
        <v>36</v>
      </c>
      <c r="T212">
        <v>11</v>
      </c>
      <c r="U212">
        <f>SUM(S212:T212)</f>
        <v>47</v>
      </c>
    </row>
    <row r="213" spans="1:19">
      <c r="A213" s="4">
        <v>201</v>
      </c>
      <c r="B213" s="4" t="s">
        <v>427</v>
      </c>
      <c r="C213" s="14" t="s">
        <v>428</v>
      </c>
      <c r="D213" s="34">
        <v>45</v>
      </c>
      <c r="E213" s="49">
        <f t="shared" si="31"/>
        <v>27</v>
      </c>
      <c r="F213" s="34">
        <v>34</v>
      </c>
      <c r="G213" s="49">
        <f t="shared" si="32"/>
        <v>20.4</v>
      </c>
      <c r="H213" s="34">
        <v>38</v>
      </c>
      <c r="I213" s="49">
        <f t="shared" si="33"/>
        <v>22.8</v>
      </c>
      <c r="J213" s="49">
        <f t="shared" si="29"/>
        <v>23.4</v>
      </c>
      <c r="K213" s="34">
        <v>30</v>
      </c>
      <c r="L213" s="54">
        <f t="shared" si="34"/>
        <v>10</v>
      </c>
      <c r="M213" s="34">
        <v>10</v>
      </c>
      <c r="N213" s="56">
        <f t="shared" si="35"/>
        <v>43.4</v>
      </c>
      <c r="O213" s="56">
        <f t="shared" si="36"/>
        <v>26.04</v>
      </c>
      <c r="P213" s="56">
        <f>'Lab Component'!K213</f>
        <v>19</v>
      </c>
      <c r="Q213" s="56">
        <f t="shared" si="30"/>
        <v>45.04</v>
      </c>
      <c r="R213" s="56">
        <f t="shared" si="37"/>
        <v>46</v>
      </c>
      <c r="S213" s="3">
        <v>36</v>
      </c>
    </row>
    <row r="214" spans="1:19">
      <c r="A214" s="4">
        <v>202</v>
      </c>
      <c r="B214" s="4" t="s">
        <v>429</v>
      </c>
      <c r="C214" s="14" t="s">
        <v>430</v>
      </c>
      <c r="D214" s="34">
        <v>50</v>
      </c>
      <c r="E214" s="49">
        <f t="shared" si="31"/>
        <v>30</v>
      </c>
      <c r="F214" s="34">
        <v>45</v>
      </c>
      <c r="G214" s="49">
        <f t="shared" si="32"/>
        <v>27</v>
      </c>
      <c r="H214" s="34">
        <v>50</v>
      </c>
      <c r="I214" s="49">
        <f t="shared" si="33"/>
        <v>30</v>
      </c>
      <c r="J214" s="49">
        <f t="shared" si="29"/>
        <v>29</v>
      </c>
      <c r="K214" s="34">
        <v>30</v>
      </c>
      <c r="L214" s="54">
        <f t="shared" si="34"/>
        <v>10</v>
      </c>
      <c r="M214" s="34">
        <v>10</v>
      </c>
      <c r="N214" s="56">
        <f t="shared" si="35"/>
        <v>49</v>
      </c>
      <c r="O214" s="56">
        <f t="shared" si="36"/>
        <v>29.4</v>
      </c>
      <c r="P214" s="56">
        <f>'Lab Component'!K214</f>
        <v>19</v>
      </c>
      <c r="Q214" s="56">
        <f t="shared" si="30"/>
        <v>48.4</v>
      </c>
      <c r="R214" s="56">
        <f t="shared" si="37"/>
        <v>49</v>
      </c>
      <c r="S214" s="3">
        <v>37</v>
      </c>
    </row>
    <row r="215" spans="1:19">
      <c r="A215" s="4">
        <v>203</v>
      </c>
      <c r="B215" s="4" t="s">
        <v>431</v>
      </c>
      <c r="C215" s="14" t="s">
        <v>432</v>
      </c>
      <c r="D215" s="34">
        <v>40</v>
      </c>
      <c r="E215" s="49">
        <f t="shared" si="31"/>
        <v>24</v>
      </c>
      <c r="F215" s="34">
        <v>45</v>
      </c>
      <c r="G215" s="49">
        <f t="shared" si="32"/>
        <v>27</v>
      </c>
      <c r="H215" s="34">
        <v>38</v>
      </c>
      <c r="I215" s="49">
        <f t="shared" si="33"/>
        <v>22.8</v>
      </c>
      <c r="J215" s="49">
        <f t="shared" si="29"/>
        <v>24.6</v>
      </c>
      <c r="K215" s="34">
        <v>30</v>
      </c>
      <c r="L215" s="54">
        <f t="shared" si="34"/>
        <v>10</v>
      </c>
      <c r="M215" s="34">
        <v>10</v>
      </c>
      <c r="N215" s="56">
        <f t="shared" si="35"/>
        <v>44.6</v>
      </c>
      <c r="O215" s="56">
        <f t="shared" si="36"/>
        <v>26.76</v>
      </c>
      <c r="P215" s="56">
        <f>'Lab Component'!K215</f>
        <v>19</v>
      </c>
      <c r="Q215" s="56">
        <f t="shared" si="30"/>
        <v>45.76</v>
      </c>
      <c r="R215" s="56">
        <f t="shared" si="37"/>
        <v>46</v>
      </c>
      <c r="S215" s="3">
        <v>38</v>
      </c>
    </row>
    <row r="216" spans="1:19">
      <c r="A216" s="4">
        <v>204</v>
      </c>
      <c r="B216" s="4" t="s">
        <v>433</v>
      </c>
      <c r="C216" s="14" t="s">
        <v>434</v>
      </c>
      <c r="D216" s="34">
        <v>29</v>
      </c>
      <c r="E216" s="49">
        <f t="shared" si="31"/>
        <v>17.4</v>
      </c>
      <c r="F216" s="34">
        <v>42</v>
      </c>
      <c r="G216" s="49">
        <f t="shared" si="32"/>
        <v>25.2</v>
      </c>
      <c r="H216" s="34">
        <v>47</v>
      </c>
      <c r="I216" s="49">
        <f t="shared" si="33"/>
        <v>28.2</v>
      </c>
      <c r="J216" s="49">
        <f t="shared" si="29"/>
        <v>23.6</v>
      </c>
      <c r="K216" s="34">
        <v>30</v>
      </c>
      <c r="L216" s="54">
        <f t="shared" si="34"/>
        <v>10</v>
      </c>
      <c r="M216" s="34">
        <v>10</v>
      </c>
      <c r="N216" s="56">
        <f t="shared" si="35"/>
        <v>43.6</v>
      </c>
      <c r="O216" s="56">
        <f t="shared" si="36"/>
        <v>26.16</v>
      </c>
      <c r="P216" s="56">
        <f>'Lab Component'!K216</f>
        <v>19</v>
      </c>
      <c r="Q216" s="56">
        <f t="shared" si="30"/>
        <v>45.16</v>
      </c>
      <c r="R216" s="56">
        <f t="shared" si="37"/>
        <v>46</v>
      </c>
      <c r="S216" s="3">
        <v>38</v>
      </c>
    </row>
    <row r="217" spans="1:21">
      <c r="A217" s="4">
        <v>205</v>
      </c>
      <c r="B217" s="4" t="s">
        <v>435</v>
      </c>
      <c r="C217" s="14" t="s">
        <v>436</v>
      </c>
      <c r="D217" s="34">
        <v>39</v>
      </c>
      <c r="E217" s="49">
        <f t="shared" si="31"/>
        <v>23.4</v>
      </c>
      <c r="F217" s="34">
        <v>26</v>
      </c>
      <c r="G217" s="49">
        <f t="shared" si="32"/>
        <v>15.6</v>
      </c>
      <c r="H217" s="34">
        <v>24</v>
      </c>
      <c r="I217" s="49">
        <f t="shared" si="33"/>
        <v>14.4</v>
      </c>
      <c r="J217" s="49">
        <f t="shared" si="29"/>
        <v>17.8</v>
      </c>
      <c r="K217" s="34">
        <v>30</v>
      </c>
      <c r="L217" s="54">
        <f t="shared" si="34"/>
        <v>10</v>
      </c>
      <c r="M217" s="34">
        <v>8</v>
      </c>
      <c r="N217" s="56">
        <f t="shared" si="35"/>
        <v>35.8</v>
      </c>
      <c r="O217" s="56">
        <f t="shared" si="36"/>
        <v>21.48</v>
      </c>
      <c r="P217" s="56">
        <f>'Lab Component'!K217</f>
        <v>19</v>
      </c>
      <c r="Q217" s="56">
        <f t="shared" si="30"/>
        <v>40.48</v>
      </c>
      <c r="R217" s="56">
        <f t="shared" si="37"/>
        <v>41</v>
      </c>
      <c r="S217" s="3">
        <v>36</v>
      </c>
      <c r="T217">
        <v>11</v>
      </c>
      <c r="U217">
        <f>SUM(S217:T217)</f>
        <v>47</v>
      </c>
    </row>
    <row r="218" spans="1:21">
      <c r="A218" s="4">
        <v>206</v>
      </c>
      <c r="B218" s="4" t="s">
        <v>437</v>
      </c>
      <c r="C218" s="14" t="s">
        <v>438</v>
      </c>
      <c r="D218" s="34">
        <v>32</v>
      </c>
      <c r="E218" s="49">
        <f t="shared" si="31"/>
        <v>19.2</v>
      </c>
      <c r="F218" s="34">
        <v>25</v>
      </c>
      <c r="G218" s="49">
        <f t="shared" si="32"/>
        <v>15</v>
      </c>
      <c r="H218" s="34">
        <v>45</v>
      </c>
      <c r="I218" s="49">
        <f t="shared" si="33"/>
        <v>27</v>
      </c>
      <c r="J218" s="49">
        <f t="shared" si="29"/>
        <v>20.4</v>
      </c>
      <c r="K218" s="34">
        <v>30</v>
      </c>
      <c r="L218" s="54">
        <f t="shared" si="34"/>
        <v>10</v>
      </c>
      <c r="M218" s="34">
        <v>6</v>
      </c>
      <c r="N218" s="56">
        <f t="shared" si="35"/>
        <v>36.4</v>
      </c>
      <c r="O218" s="56">
        <f t="shared" si="36"/>
        <v>21.84</v>
      </c>
      <c r="P218" s="56">
        <f>'Lab Component'!K218</f>
        <v>18</v>
      </c>
      <c r="Q218" s="56">
        <f t="shared" si="30"/>
        <v>39.84</v>
      </c>
      <c r="R218" s="56">
        <f t="shared" si="37"/>
        <v>40</v>
      </c>
      <c r="S218" s="3">
        <v>37</v>
      </c>
      <c r="T218">
        <v>12</v>
      </c>
      <c r="U218">
        <f>SUM(S218:T218)</f>
        <v>49</v>
      </c>
    </row>
    <row r="219" spans="1:21">
      <c r="A219" s="4">
        <v>207</v>
      </c>
      <c r="B219" s="4" t="s">
        <v>439</v>
      </c>
      <c r="C219" s="14" t="s">
        <v>440</v>
      </c>
      <c r="D219" s="34">
        <v>25</v>
      </c>
      <c r="E219" s="49">
        <f t="shared" si="31"/>
        <v>15</v>
      </c>
      <c r="F219" s="34">
        <v>35</v>
      </c>
      <c r="G219" s="49">
        <f t="shared" si="32"/>
        <v>21</v>
      </c>
      <c r="H219" s="34">
        <v>25</v>
      </c>
      <c r="I219" s="49">
        <f t="shared" si="33"/>
        <v>15</v>
      </c>
      <c r="J219" s="49">
        <f t="shared" si="29"/>
        <v>17</v>
      </c>
      <c r="K219" s="34">
        <v>30</v>
      </c>
      <c r="L219" s="54">
        <f t="shared" si="34"/>
        <v>10</v>
      </c>
      <c r="M219" s="34">
        <v>7</v>
      </c>
      <c r="N219" s="34">
        <f t="shared" si="35"/>
        <v>34</v>
      </c>
      <c r="O219" s="56">
        <f t="shared" si="36"/>
        <v>20.4</v>
      </c>
      <c r="P219" s="56">
        <f>'Lab Component'!K219</f>
        <v>18</v>
      </c>
      <c r="Q219" s="56">
        <f t="shared" si="30"/>
        <v>38.4</v>
      </c>
      <c r="R219" s="56">
        <f t="shared" si="37"/>
        <v>39</v>
      </c>
      <c r="S219" s="3">
        <v>38</v>
      </c>
      <c r="T219">
        <v>13</v>
      </c>
      <c r="U219">
        <f>SUM(S219:T219)</f>
        <v>51</v>
      </c>
    </row>
  </sheetData>
  <mergeCells count="6">
    <mergeCell ref="C7:M7"/>
    <mergeCell ref="C9:D9"/>
    <mergeCell ref="E9:F9"/>
    <mergeCell ref="C10:D10"/>
    <mergeCell ref="E10:F10"/>
    <mergeCell ref="G10:H10"/>
  </mergeCells>
  <pageMargins left="0.7" right="0.7" top="0.75" bottom="0.75" header="0.3" footer="0.3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7:V219"/>
  <sheetViews>
    <sheetView workbookViewId="0">
      <pane ySplit="12" topLeftCell="A143" activePane="bottomLeft" state="frozen"/>
      <selection/>
      <selection pane="bottomLeft" activeCell="N204" sqref="N204"/>
    </sheetView>
  </sheetViews>
  <sheetFormatPr defaultColWidth="9.14285714285714" defaultRowHeight="15"/>
  <cols>
    <col min="1" max="1" width="4.85714285714286" customWidth="1"/>
    <col min="2" max="2" width="23.4285714285714" customWidth="1"/>
    <col min="3" max="3" width="32.8571428571429" customWidth="1"/>
    <col min="4" max="4" width="11" customWidth="1"/>
    <col min="5" max="5" width="9.57142857142857" customWidth="1"/>
    <col min="6" max="6" width="11" customWidth="1"/>
    <col min="7" max="7" width="9.57142857142857" customWidth="1"/>
    <col min="8" max="8" width="11" customWidth="1"/>
    <col min="9" max="9" width="9.57142857142857" customWidth="1"/>
    <col min="10" max="10" width="12.2857142857143" customWidth="1"/>
    <col min="11" max="11" width="9.14285714285714" customWidth="1"/>
    <col min="12" max="12" width="10.7142857142857" customWidth="1"/>
    <col min="13" max="14" width="9.14285714285714" customWidth="1"/>
    <col min="15" max="15" width="10.4285714285714" customWidth="1"/>
    <col min="16" max="16" width="15.8571428571429" customWidth="1"/>
    <col min="17" max="17" width="9.14285714285714" customWidth="1"/>
    <col min="18" max="18" width="14.1428571428571" customWidth="1"/>
    <col min="19" max="19" width="10.8571428571429" customWidth="1"/>
    <col min="20" max="20" width="12.4285714285714" customWidth="1"/>
  </cols>
  <sheetData>
    <row r="7" customHeight="1" spans="3:14">
      <c r="C7" s="37" t="s">
        <v>0</v>
      </c>
      <c r="D7" s="37"/>
      <c r="E7" s="37"/>
      <c r="F7" s="37"/>
      <c r="G7" s="37"/>
      <c r="H7" s="37"/>
      <c r="I7" s="37"/>
      <c r="J7" s="37"/>
      <c r="K7" s="37"/>
      <c r="L7" s="37"/>
      <c r="M7" s="37"/>
      <c r="N7" s="50"/>
    </row>
    <row r="8" spans="3:8">
      <c r="C8" s="38"/>
      <c r="D8" s="38"/>
      <c r="E8" s="38"/>
      <c r="F8" s="38"/>
      <c r="G8" s="38"/>
      <c r="H8" s="38"/>
    </row>
    <row r="9" spans="3:8">
      <c r="C9" s="39" t="s">
        <v>1</v>
      </c>
      <c r="D9" s="39"/>
      <c r="E9" s="39" t="s">
        <v>2</v>
      </c>
      <c r="F9" s="39"/>
      <c r="G9" s="38"/>
      <c r="H9" s="38"/>
    </row>
    <row r="10" spans="3:8">
      <c r="C10" s="39" t="s">
        <v>3</v>
      </c>
      <c r="D10" s="39"/>
      <c r="E10" s="39" t="s">
        <v>4</v>
      </c>
      <c r="F10" s="39"/>
      <c r="G10" s="38"/>
      <c r="H10" s="36"/>
    </row>
    <row r="12" ht="38.25" spans="1:22">
      <c r="A12" s="1" t="s">
        <v>5</v>
      </c>
      <c r="B12" s="2" t="s">
        <v>6</v>
      </c>
      <c r="C12" s="2" t="s">
        <v>7</v>
      </c>
      <c r="D12" s="2" t="s">
        <v>8</v>
      </c>
      <c r="E12" s="1" t="s">
        <v>9</v>
      </c>
      <c r="F12" s="2" t="s">
        <v>10</v>
      </c>
      <c r="G12" s="1" t="s">
        <v>11</v>
      </c>
      <c r="H12" s="2" t="s">
        <v>12</v>
      </c>
      <c r="I12" s="1" t="s">
        <v>13</v>
      </c>
      <c r="J12" s="1" t="s">
        <v>14</v>
      </c>
      <c r="K12" s="51" t="s">
        <v>15</v>
      </c>
      <c r="L12" s="52" t="s">
        <v>16</v>
      </c>
      <c r="M12" s="1" t="s">
        <v>17</v>
      </c>
      <c r="N12" s="1" t="s">
        <v>441</v>
      </c>
      <c r="O12" s="1" t="s">
        <v>18</v>
      </c>
      <c r="P12" s="1" t="s">
        <v>19</v>
      </c>
      <c r="Q12" s="59" t="s">
        <v>20</v>
      </c>
      <c r="R12" s="59" t="s">
        <v>21</v>
      </c>
      <c r="S12" s="59" t="s">
        <v>22</v>
      </c>
      <c r="T12" s="59" t="s">
        <v>23</v>
      </c>
      <c r="U12" t="s">
        <v>24</v>
      </c>
      <c r="V12" t="s">
        <v>25</v>
      </c>
    </row>
    <row r="13" spans="1:20">
      <c r="A13" s="4">
        <v>1</v>
      </c>
      <c r="B13" s="5" t="s">
        <v>26</v>
      </c>
      <c r="C13" s="13" t="s">
        <v>27</v>
      </c>
      <c r="D13" s="48">
        <v>45</v>
      </c>
      <c r="E13" s="49">
        <f t="shared" ref="E13:I13" si="0">((D13*30)/50)</f>
        <v>27</v>
      </c>
      <c r="F13" s="48">
        <v>46</v>
      </c>
      <c r="G13" s="49">
        <f t="shared" si="0"/>
        <v>27.6</v>
      </c>
      <c r="H13" s="48">
        <v>40</v>
      </c>
      <c r="I13" s="49">
        <f t="shared" si="0"/>
        <v>24</v>
      </c>
      <c r="J13" s="49">
        <f t="shared" ref="J13:J76" si="1">((E13+G13+I13)/3)</f>
        <v>26.2</v>
      </c>
      <c r="K13" s="53">
        <v>30</v>
      </c>
      <c r="L13" s="54">
        <f t="shared" ref="L13:L76" si="2">((K13*10)/30)</f>
        <v>10</v>
      </c>
      <c r="M13" s="55">
        <v>1</v>
      </c>
      <c r="N13" s="55"/>
      <c r="O13" s="56">
        <f t="shared" ref="O13:O76" si="3">SUM(J13,L13,M13)</f>
        <v>37.2</v>
      </c>
      <c r="P13" s="56">
        <f t="shared" ref="P13:P76" si="4">(O13/50)*30</f>
        <v>22.32</v>
      </c>
      <c r="Q13" s="56">
        <f>'Lab Component'!K13</f>
        <v>19</v>
      </c>
      <c r="R13" s="56">
        <f t="shared" ref="R13:R76" si="5">(P13+Q13)</f>
        <v>41.32</v>
      </c>
      <c r="S13" s="56">
        <f t="shared" ref="S13:S76" si="6">ROUNDUP(R13,0)</f>
        <v>42</v>
      </c>
      <c r="T13" s="3"/>
    </row>
    <row r="14" spans="1:20">
      <c r="A14" s="4">
        <v>2</v>
      </c>
      <c r="B14" s="5" t="s">
        <v>28</v>
      </c>
      <c r="C14" s="13" t="s">
        <v>29</v>
      </c>
      <c r="D14" s="48">
        <v>1</v>
      </c>
      <c r="E14" s="49">
        <f t="shared" ref="E14:I14" si="7">((D14*30)/50)</f>
        <v>0.6</v>
      </c>
      <c r="F14" s="48">
        <v>1</v>
      </c>
      <c r="G14" s="49">
        <f t="shared" si="7"/>
        <v>0.6</v>
      </c>
      <c r="H14" s="48">
        <v>1</v>
      </c>
      <c r="I14" s="49">
        <f t="shared" si="7"/>
        <v>0.6</v>
      </c>
      <c r="J14" s="49">
        <f t="shared" si="1"/>
        <v>0.6</v>
      </c>
      <c r="K14" s="48">
        <v>30</v>
      </c>
      <c r="L14" s="54">
        <f t="shared" si="2"/>
        <v>10</v>
      </c>
      <c r="M14" s="48">
        <v>1</v>
      </c>
      <c r="N14" s="48"/>
      <c r="O14" s="56">
        <f t="shared" si="3"/>
        <v>11.6</v>
      </c>
      <c r="P14" s="56">
        <f t="shared" si="4"/>
        <v>6.96</v>
      </c>
      <c r="Q14" s="56">
        <f>'Lab Component'!K14</f>
        <v>20</v>
      </c>
      <c r="R14" s="56">
        <f t="shared" si="5"/>
        <v>26.96</v>
      </c>
      <c r="S14" s="56">
        <f t="shared" si="6"/>
        <v>27</v>
      </c>
      <c r="T14" s="3"/>
    </row>
    <row r="15" spans="1:20">
      <c r="A15" s="4">
        <v>3</v>
      </c>
      <c r="B15" s="5" t="s">
        <v>30</v>
      </c>
      <c r="C15" s="13" t="s">
        <v>31</v>
      </c>
      <c r="D15" s="48">
        <v>1</v>
      </c>
      <c r="E15" s="49">
        <f t="shared" ref="E15:I15" si="8">((D15*30)/50)</f>
        <v>0.6</v>
      </c>
      <c r="F15" s="48">
        <v>1</v>
      </c>
      <c r="G15" s="49">
        <f t="shared" si="8"/>
        <v>0.6</v>
      </c>
      <c r="H15" s="48">
        <v>1</v>
      </c>
      <c r="I15" s="49">
        <f t="shared" si="8"/>
        <v>0.6</v>
      </c>
      <c r="J15" s="49">
        <f t="shared" si="1"/>
        <v>0.6</v>
      </c>
      <c r="K15" s="48">
        <v>30</v>
      </c>
      <c r="L15" s="54">
        <f t="shared" si="2"/>
        <v>10</v>
      </c>
      <c r="M15" s="48">
        <v>1</v>
      </c>
      <c r="N15" s="48"/>
      <c r="O15" s="56">
        <f t="shared" si="3"/>
        <v>11.6</v>
      </c>
      <c r="P15" s="56">
        <f t="shared" si="4"/>
        <v>6.96</v>
      </c>
      <c r="Q15" s="56">
        <f>'Lab Component'!K15</f>
        <v>20</v>
      </c>
      <c r="R15" s="56">
        <f t="shared" si="5"/>
        <v>26.96</v>
      </c>
      <c r="S15" s="56">
        <f t="shared" si="6"/>
        <v>27</v>
      </c>
      <c r="T15" s="3"/>
    </row>
    <row r="16" spans="1:20">
      <c r="A16" s="4">
        <v>4</v>
      </c>
      <c r="B16" s="5" t="s">
        <v>32</v>
      </c>
      <c r="C16" s="13" t="s">
        <v>33</v>
      </c>
      <c r="D16" s="48">
        <v>1</v>
      </c>
      <c r="E16" s="49">
        <f t="shared" ref="E16:I16" si="9">((D16*30)/50)</f>
        <v>0.6</v>
      </c>
      <c r="F16" s="48">
        <v>1</v>
      </c>
      <c r="G16" s="49">
        <f t="shared" si="9"/>
        <v>0.6</v>
      </c>
      <c r="H16" s="48">
        <v>1</v>
      </c>
      <c r="I16" s="49">
        <f t="shared" si="9"/>
        <v>0.6</v>
      </c>
      <c r="J16" s="49">
        <f t="shared" si="1"/>
        <v>0.6</v>
      </c>
      <c r="K16" s="48">
        <v>28</v>
      </c>
      <c r="L16" s="54">
        <f t="shared" si="2"/>
        <v>9.33333333333333</v>
      </c>
      <c r="M16" s="48">
        <v>1</v>
      </c>
      <c r="N16" s="48"/>
      <c r="O16" s="56">
        <f t="shared" si="3"/>
        <v>10.9333333333333</v>
      </c>
      <c r="P16" s="56">
        <f t="shared" si="4"/>
        <v>6.56</v>
      </c>
      <c r="Q16" s="56">
        <f>'Lab Component'!K16</f>
        <v>20</v>
      </c>
      <c r="R16" s="56">
        <f t="shared" si="5"/>
        <v>26.56</v>
      </c>
      <c r="S16" s="56">
        <f t="shared" si="6"/>
        <v>27</v>
      </c>
      <c r="T16" s="3"/>
    </row>
    <row r="17" spans="1:20">
      <c r="A17" s="4">
        <v>5</v>
      </c>
      <c r="B17" s="5" t="s">
        <v>34</v>
      </c>
      <c r="C17" s="13" t="s">
        <v>35</v>
      </c>
      <c r="D17" s="48">
        <v>1</v>
      </c>
      <c r="E17" s="49">
        <f t="shared" ref="E17:I17" si="10">((D17*30)/50)</f>
        <v>0.6</v>
      </c>
      <c r="F17" s="48">
        <v>1</v>
      </c>
      <c r="G17" s="49">
        <f t="shared" si="10"/>
        <v>0.6</v>
      </c>
      <c r="H17" s="48">
        <v>1</v>
      </c>
      <c r="I17" s="49">
        <f t="shared" si="10"/>
        <v>0.6</v>
      </c>
      <c r="J17" s="49">
        <f t="shared" si="1"/>
        <v>0.6</v>
      </c>
      <c r="K17" s="48">
        <v>30</v>
      </c>
      <c r="L17" s="54">
        <f t="shared" si="2"/>
        <v>10</v>
      </c>
      <c r="M17" s="48">
        <v>1</v>
      </c>
      <c r="N17" s="48"/>
      <c r="O17" s="56">
        <f t="shared" si="3"/>
        <v>11.6</v>
      </c>
      <c r="P17" s="56">
        <f t="shared" si="4"/>
        <v>6.96</v>
      </c>
      <c r="Q17" s="56">
        <f>'Lab Component'!K17</f>
        <v>19</v>
      </c>
      <c r="R17" s="56">
        <f t="shared" si="5"/>
        <v>25.96</v>
      </c>
      <c r="S17" s="56">
        <f t="shared" si="6"/>
        <v>26</v>
      </c>
      <c r="T17" s="3"/>
    </row>
    <row r="18" spans="1:20">
      <c r="A18" s="4">
        <v>6</v>
      </c>
      <c r="B18" s="5" t="s">
        <v>36</v>
      </c>
      <c r="C18" s="13" t="s">
        <v>37</v>
      </c>
      <c r="D18" s="48">
        <v>1</v>
      </c>
      <c r="E18" s="49">
        <f t="shared" ref="E18:I18" si="11">((D18*30)/50)</f>
        <v>0.6</v>
      </c>
      <c r="F18" s="48">
        <v>1</v>
      </c>
      <c r="G18" s="49">
        <f t="shared" si="11"/>
        <v>0.6</v>
      </c>
      <c r="H18" s="48">
        <v>1</v>
      </c>
      <c r="I18" s="49">
        <f t="shared" si="11"/>
        <v>0.6</v>
      </c>
      <c r="J18" s="49">
        <f t="shared" si="1"/>
        <v>0.6</v>
      </c>
      <c r="K18" s="48">
        <v>30</v>
      </c>
      <c r="L18" s="54">
        <f t="shared" si="2"/>
        <v>10</v>
      </c>
      <c r="M18" s="48">
        <v>1</v>
      </c>
      <c r="N18" s="48"/>
      <c r="O18" s="56">
        <f t="shared" si="3"/>
        <v>11.6</v>
      </c>
      <c r="P18" s="56">
        <f t="shared" si="4"/>
        <v>6.96</v>
      </c>
      <c r="Q18" s="56">
        <f>'Lab Component'!K18</f>
        <v>19</v>
      </c>
      <c r="R18" s="56">
        <f t="shared" si="5"/>
        <v>25.96</v>
      </c>
      <c r="S18" s="56">
        <f t="shared" si="6"/>
        <v>26</v>
      </c>
      <c r="T18" s="3"/>
    </row>
    <row r="19" spans="1:20">
      <c r="A19" s="4">
        <v>7</v>
      </c>
      <c r="B19" s="5" t="s">
        <v>38</v>
      </c>
      <c r="C19" s="13" t="s">
        <v>39</v>
      </c>
      <c r="D19" s="48">
        <v>1</v>
      </c>
      <c r="E19" s="49">
        <f t="shared" ref="E19:I19" si="12">((D19*30)/50)</f>
        <v>0.6</v>
      </c>
      <c r="F19" s="48">
        <v>1</v>
      </c>
      <c r="G19" s="49">
        <f t="shared" si="12"/>
        <v>0.6</v>
      </c>
      <c r="H19" s="48">
        <v>1</v>
      </c>
      <c r="I19" s="49">
        <f t="shared" si="12"/>
        <v>0.6</v>
      </c>
      <c r="J19" s="49">
        <f t="shared" si="1"/>
        <v>0.6</v>
      </c>
      <c r="K19" s="48">
        <v>30</v>
      </c>
      <c r="L19" s="54">
        <f t="shared" si="2"/>
        <v>10</v>
      </c>
      <c r="M19" s="48">
        <v>1</v>
      </c>
      <c r="N19" s="48"/>
      <c r="O19" s="56">
        <f t="shared" si="3"/>
        <v>11.6</v>
      </c>
      <c r="P19" s="56">
        <f t="shared" si="4"/>
        <v>6.96</v>
      </c>
      <c r="Q19" s="56">
        <f>'Lab Component'!K19</f>
        <v>19</v>
      </c>
      <c r="R19" s="56">
        <f t="shared" si="5"/>
        <v>25.96</v>
      </c>
      <c r="S19" s="56">
        <f t="shared" si="6"/>
        <v>26</v>
      </c>
      <c r="T19" s="3"/>
    </row>
    <row r="20" spans="1:20">
      <c r="A20" s="4">
        <v>8</v>
      </c>
      <c r="B20" s="5" t="s">
        <v>40</v>
      </c>
      <c r="C20" s="13" t="s">
        <v>41</v>
      </c>
      <c r="D20" s="48">
        <v>1</v>
      </c>
      <c r="E20" s="49">
        <f t="shared" ref="E20:I20" si="13">((D20*30)/50)</f>
        <v>0.6</v>
      </c>
      <c r="F20" s="48">
        <v>1</v>
      </c>
      <c r="G20" s="49">
        <f t="shared" si="13"/>
        <v>0.6</v>
      </c>
      <c r="H20" s="48">
        <v>1</v>
      </c>
      <c r="I20" s="49">
        <f t="shared" si="13"/>
        <v>0.6</v>
      </c>
      <c r="J20" s="49">
        <f t="shared" si="1"/>
        <v>0.6</v>
      </c>
      <c r="K20" s="48">
        <v>30</v>
      </c>
      <c r="L20" s="54">
        <f t="shared" si="2"/>
        <v>10</v>
      </c>
      <c r="M20" s="48">
        <v>1</v>
      </c>
      <c r="N20" s="48"/>
      <c r="O20" s="56">
        <f t="shared" si="3"/>
        <v>11.6</v>
      </c>
      <c r="P20" s="56">
        <f t="shared" si="4"/>
        <v>6.96</v>
      </c>
      <c r="Q20" s="56">
        <f>'Lab Component'!K20</f>
        <v>20</v>
      </c>
      <c r="R20" s="56">
        <f t="shared" si="5"/>
        <v>26.96</v>
      </c>
      <c r="S20" s="56">
        <f t="shared" si="6"/>
        <v>27</v>
      </c>
      <c r="T20" s="3"/>
    </row>
    <row r="21" spans="1:20">
      <c r="A21" s="4">
        <v>9</v>
      </c>
      <c r="B21" s="5" t="s">
        <v>42</v>
      </c>
      <c r="C21" s="13" t="s">
        <v>43</v>
      </c>
      <c r="D21" s="48">
        <v>1</v>
      </c>
      <c r="E21" s="49">
        <f t="shared" ref="E21:I21" si="14">((D21*30)/50)</f>
        <v>0.6</v>
      </c>
      <c r="F21" s="48">
        <v>1</v>
      </c>
      <c r="G21" s="49">
        <f t="shared" si="14"/>
        <v>0.6</v>
      </c>
      <c r="H21" s="48">
        <v>1</v>
      </c>
      <c r="I21" s="49">
        <f t="shared" si="14"/>
        <v>0.6</v>
      </c>
      <c r="J21" s="49">
        <f t="shared" si="1"/>
        <v>0.6</v>
      </c>
      <c r="K21" s="48">
        <v>30</v>
      </c>
      <c r="L21" s="54">
        <f t="shared" si="2"/>
        <v>10</v>
      </c>
      <c r="M21" s="48">
        <v>1</v>
      </c>
      <c r="N21" s="48"/>
      <c r="O21" s="56">
        <f t="shared" si="3"/>
        <v>11.6</v>
      </c>
      <c r="P21" s="56">
        <f t="shared" si="4"/>
        <v>6.96</v>
      </c>
      <c r="Q21" s="56">
        <f>'Lab Component'!K21</f>
        <v>19</v>
      </c>
      <c r="R21" s="56">
        <f t="shared" si="5"/>
        <v>25.96</v>
      </c>
      <c r="S21" s="56">
        <f t="shared" si="6"/>
        <v>26</v>
      </c>
      <c r="T21" s="3"/>
    </row>
    <row r="22" spans="1:20">
      <c r="A22" s="4">
        <v>10</v>
      </c>
      <c r="B22" s="5" t="s">
        <v>44</v>
      </c>
      <c r="C22" s="13" t="s">
        <v>45</v>
      </c>
      <c r="D22" s="48">
        <v>1</v>
      </c>
      <c r="E22" s="49">
        <f t="shared" ref="E22:I22" si="15">((D22*30)/50)</f>
        <v>0.6</v>
      </c>
      <c r="F22" s="48">
        <v>1</v>
      </c>
      <c r="G22" s="49">
        <f t="shared" si="15"/>
        <v>0.6</v>
      </c>
      <c r="H22" s="48">
        <v>1</v>
      </c>
      <c r="I22" s="49">
        <f t="shared" si="15"/>
        <v>0.6</v>
      </c>
      <c r="J22" s="49">
        <f t="shared" si="1"/>
        <v>0.6</v>
      </c>
      <c r="K22" s="48">
        <v>30</v>
      </c>
      <c r="L22" s="54">
        <f t="shared" si="2"/>
        <v>10</v>
      </c>
      <c r="M22" s="48">
        <v>1</v>
      </c>
      <c r="N22" s="48"/>
      <c r="O22" s="56">
        <f t="shared" si="3"/>
        <v>11.6</v>
      </c>
      <c r="P22" s="56">
        <f t="shared" si="4"/>
        <v>6.96</v>
      </c>
      <c r="Q22" s="56">
        <f>'Lab Component'!K22</f>
        <v>20</v>
      </c>
      <c r="R22" s="56">
        <f t="shared" si="5"/>
        <v>26.96</v>
      </c>
      <c r="S22" s="56">
        <f t="shared" si="6"/>
        <v>27</v>
      </c>
      <c r="T22" s="3"/>
    </row>
    <row r="23" spans="1:20">
      <c r="A23" s="4">
        <v>11</v>
      </c>
      <c r="B23" s="5" t="s">
        <v>46</v>
      </c>
      <c r="C23" s="13" t="s">
        <v>47</v>
      </c>
      <c r="D23" s="48">
        <v>1</v>
      </c>
      <c r="E23" s="49">
        <f t="shared" ref="E23:I23" si="16">((D23*30)/50)</f>
        <v>0.6</v>
      </c>
      <c r="F23" s="48">
        <v>1</v>
      </c>
      <c r="G23" s="49">
        <f t="shared" si="16"/>
        <v>0.6</v>
      </c>
      <c r="H23" s="48">
        <v>1</v>
      </c>
      <c r="I23" s="49">
        <f t="shared" si="16"/>
        <v>0.6</v>
      </c>
      <c r="J23" s="49">
        <f t="shared" si="1"/>
        <v>0.6</v>
      </c>
      <c r="K23" s="48">
        <v>30</v>
      </c>
      <c r="L23" s="54">
        <f t="shared" si="2"/>
        <v>10</v>
      </c>
      <c r="M23" s="48">
        <v>1</v>
      </c>
      <c r="N23" s="48"/>
      <c r="O23" s="56">
        <f t="shared" si="3"/>
        <v>11.6</v>
      </c>
      <c r="P23" s="56">
        <f t="shared" si="4"/>
        <v>6.96</v>
      </c>
      <c r="Q23" s="56">
        <f>'Lab Component'!K23</f>
        <v>19</v>
      </c>
      <c r="R23" s="56">
        <f t="shared" si="5"/>
        <v>25.96</v>
      </c>
      <c r="S23" s="56">
        <f t="shared" si="6"/>
        <v>26</v>
      </c>
      <c r="T23" s="3"/>
    </row>
    <row r="24" spans="1:20">
      <c r="A24" s="4">
        <v>12</v>
      </c>
      <c r="B24" s="5" t="s">
        <v>48</v>
      </c>
      <c r="C24" s="13" t="s">
        <v>49</v>
      </c>
      <c r="D24" s="48">
        <v>1</v>
      </c>
      <c r="E24" s="49">
        <f t="shared" ref="E24:I24" si="17">((D24*30)/50)</f>
        <v>0.6</v>
      </c>
      <c r="F24" s="48">
        <v>1</v>
      </c>
      <c r="G24" s="49">
        <f t="shared" si="17"/>
        <v>0.6</v>
      </c>
      <c r="H24" s="48">
        <v>1</v>
      </c>
      <c r="I24" s="49">
        <f t="shared" si="17"/>
        <v>0.6</v>
      </c>
      <c r="J24" s="49">
        <f t="shared" si="1"/>
        <v>0.6</v>
      </c>
      <c r="K24" s="48">
        <v>30</v>
      </c>
      <c r="L24" s="54">
        <f t="shared" si="2"/>
        <v>10</v>
      </c>
      <c r="M24" s="48">
        <v>1</v>
      </c>
      <c r="N24" s="48"/>
      <c r="O24" s="56">
        <f t="shared" si="3"/>
        <v>11.6</v>
      </c>
      <c r="P24" s="56">
        <f t="shared" si="4"/>
        <v>6.96</v>
      </c>
      <c r="Q24" s="56">
        <f>'Lab Component'!K24</f>
        <v>19</v>
      </c>
      <c r="R24" s="56">
        <f t="shared" si="5"/>
        <v>25.96</v>
      </c>
      <c r="S24" s="56">
        <f t="shared" si="6"/>
        <v>26</v>
      </c>
      <c r="T24" s="3"/>
    </row>
    <row r="25" spans="1:20">
      <c r="A25" s="4">
        <v>13</v>
      </c>
      <c r="B25" s="5" t="s">
        <v>50</v>
      </c>
      <c r="C25" s="13" t="s">
        <v>51</v>
      </c>
      <c r="D25" s="48">
        <v>1</v>
      </c>
      <c r="E25" s="49">
        <f t="shared" ref="E25:I25" si="18">((D25*30)/50)</f>
        <v>0.6</v>
      </c>
      <c r="F25" s="48">
        <v>1</v>
      </c>
      <c r="G25" s="49">
        <f t="shared" si="18"/>
        <v>0.6</v>
      </c>
      <c r="H25" s="48">
        <v>1</v>
      </c>
      <c r="I25" s="49">
        <f t="shared" si="18"/>
        <v>0.6</v>
      </c>
      <c r="J25" s="49">
        <f t="shared" si="1"/>
        <v>0.6</v>
      </c>
      <c r="K25" s="48">
        <v>30</v>
      </c>
      <c r="L25" s="54">
        <f t="shared" si="2"/>
        <v>10</v>
      </c>
      <c r="M25" s="48">
        <v>1</v>
      </c>
      <c r="N25" s="48"/>
      <c r="O25" s="56">
        <f t="shared" si="3"/>
        <v>11.6</v>
      </c>
      <c r="P25" s="56">
        <f t="shared" si="4"/>
        <v>6.96</v>
      </c>
      <c r="Q25" s="56">
        <f>'Lab Component'!K25</f>
        <v>20</v>
      </c>
      <c r="R25" s="56">
        <f t="shared" si="5"/>
        <v>26.96</v>
      </c>
      <c r="S25" s="56">
        <f t="shared" si="6"/>
        <v>27</v>
      </c>
      <c r="T25" s="3"/>
    </row>
    <row r="26" spans="1:20">
      <c r="A26" s="4">
        <v>14</v>
      </c>
      <c r="B26" s="5" t="s">
        <v>52</v>
      </c>
      <c r="C26" s="13" t="s">
        <v>53</v>
      </c>
      <c r="D26" s="48">
        <v>1</v>
      </c>
      <c r="E26" s="49">
        <f t="shared" ref="E26:I26" si="19">((D26*30)/50)</f>
        <v>0.6</v>
      </c>
      <c r="F26" s="48">
        <v>1</v>
      </c>
      <c r="G26" s="49">
        <f t="shared" si="19"/>
        <v>0.6</v>
      </c>
      <c r="H26" s="48">
        <v>1</v>
      </c>
      <c r="I26" s="49">
        <f t="shared" si="19"/>
        <v>0.6</v>
      </c>
      <c r="J26" s="49">
        <f t="shared" si="1"/>
        <v>0.6</v>
      </c>
      <c r="K26" s="48">
        <v>30</v>
      </c>
      <c r="L26" s="54">
        <f t="shared" si="2"/>
        <v>10</v>
      </c>
      <c r="M26" s="48">
        <v>1</v>
      </c>
      <c r="N26" s="48"/>
      <c r="O26" s="56">
        <f t="shared" si="3"/>
        <v>11.6</v>
      </c>
      <c r="P26" s="56">
        <f t="shared" si="4"/>
        <v>6.96</v>
      </c>
      <c r="Q26" s="56">
        <f>'Lab Component'!K26</f>
        <v>19</v>
      </c>
      <c r="R26" s="56">
        <f t="shared" si="5"/>
        <v>25.96</v>
      </c>
      <c r="S26" s="56">
        <f t="shared" si="6"/>
        <v>26</v>
      </c>
      <c r="T26" s="3"/>
    </row>
    <row r="27" spans="1:20">
      <c r="A27" s="4">
        <v>15</v>
      </c>
      <c r="B27" s="5" t="s">
        <v>54</v>
      </c>
      <c r="C27" s="13" t="s">
        <v>55</v>
      </c>
      <c r="D27" s="48">
        <v>1</v>
      </c>
      <c r="E27" s="49">
        <f t="shared" ref="E27:I27" si="20">((D27*30)/50)</f>
        <v>0.6</v>
      </c>
      <c r="F27" s="48">
        <v>1</v>
      </c>
      <c r="G27" s="49">
        <f t="shared" si="20"/>
        <v>0.6</v>
      </c>
      <c r="H27" s="48">
        <v>1</v>
      </c>
      <c r="I27" s="49">
        <f t="shared" si="20"/>
        <v>0.6</v>
      </c>
      <c r="J27" s="49">
        <f t="shared" si="1"/>
        <v>0.6</v>
      </c>
      <c r="K27" s="48">
        <v>30</v>
      </c>
      <c r="L27" s="54">
        <f t="shared" si="2"/>
        <v>10</v>
      </c>
      <c r="M27" s="48">
        <v>1</v>
      </c>
      <c r="N27" s="48"/>
      <c r="O27" s="56">
        <f t="shared" si="3"/>
        <v>11.6</v>
      </c>
      <c r="P27" s="56">
        <f t="shared" si="4"/>
        <v>6.96</v>
      </c>
      <c r="Q27" s="56">
        <f>'Lab Component'!K27</f>
        <v>20</v>
      </c>
      <c r="R27" s="56">
        <f t="shared" si="5"/>
        <v>26.96</v>
      </c>
      <c r="S27" s="56">
        <f t="shared" si="6"/>
        <v>27</v>
      </c>
      <c r="T27" s="3"/>
    </row>
    <row r="28" spans="1:20">
      <c r="A28" s="4">
        <v>16</v>
      </c>
      <c r="B28" s="5" t="s">
        <v>56</v>
      </c>
      <c r="C28" s="13" t="s">
        <v>57</v>
      </c>
      <c r="D28" s="48">
        <v>1</v>
      </c>
      <c r="E28" s="49">
        <f t="shared" ref="E28:I28" si="21">((D28*30)/50)</f>
        <v>0.6</v>
      </c>
      <c r="F28" s="48">
        <v>1</v>
      </c>
      <c r="G28" s="49">
        <f t="shared" si="21"/>
        <v>0.6</v>
      </c>
      <c r="H28" s="48">
        <v>1</v>
      </c>
      <c r="I28" s="49">
        <f t="shared" si="21"/>
        <v>0.6</v>
      </c>
      <c r="J28" s="49">
        <f t="shared" si="1"/>
        <v>0.6</v>
      </c>
      <c r="K28" s="48">
        <v>30</v>
      </c>
      <c r="L28" s="54">
        <f t="shared" si="2"/>
        <v>10</v>
      </c>
      <c r="M28" s="48">
        <v>1</v>
      </c>
      <c r="N28" s="48"/>
      <c r="O28" s="56">
        <f t="shared" si="3"/>
        <v>11.6</v>
      </c>
      <c r="P28" s="56">
        <f t="shared" si="4"/>
        <v>6.96</v>
      </c>
      <c r="Q28" s="56">
        <f>'Lab Component'!K28</f>
        <v>20</v>
      </c>
      <c r="R28" s="56">
        <f t="shared" si="5"/>
        <v>26.96</v>
      </c>
      <c r="S28" s="56">
        <f t="shared" si="6"/>
        <v>27</v>
      </c>
      <c r="T28" s="3"/>
    </row>
    <row r="29" spans="1:20">
      <c r="A29" s="4">
        <v>17</v>
      </c>
      <c r="B29" s="5" t="s">
        <v>58</v>
      </c>
      <c r="C29" s="13" t="s">
        <v>59</v>
      </c>
      <c r="D29" s="48">
        <v>1</v>
      </c>
      <c r="E29" s="49">
        <f t="shared" ref="E29:I29" si="22">((D29*30)/50)</f>
        <v>0.6</v>
      </c>
      <c r="F29" s="48">
        <v>1</v>
      </c>
      <c r="G29" s="49">
        <f t="shared" si="22"/>
        <v>0.6</v>
      </c>
      <c r="H29" s="48">
        <v>1</v>
      </c>
      <c r="I29" s="49">
        <f t="shared" si="22"/>
        <v>0.6</v>
      </c>
      <c r="J29" s="49">
        <f t="shared" si="1"/>
        <v>0.6</v>
      </c>
      <c r="K29" s="48">
        <v>30</v>
      </c>
      <c r="L29" s="54">
        <f t="shared" si="2"/>
        <v>10</v>
      </c>
      <c r="M29" s="48">
        <v>1</v>
      </c>
      <c r="N29" s="48"/>
      <c r="O29" s="56">
        <f t="shared" si="3"/>
        <v>11.6</v>
      </c>
      <c r="P29" s="56">
        <f t="shared" si="4"/>
        <v>6.96</v>
      </c>
      <c r="Q29" s="56">
        <f>'Lab Component'!K29</f>
        <v>20</v>
      </c>
      <c r="R29" s="56">
        <f t="shared" si="5"/>
        <v>26.96</v>
      </c>
      <c r="S29" s="56">
        <f t="shared" si="6"/>
        <v>27</v>
      </c>
      <c r="T29" s="3"/>
    </row>
    <row r="30" spans="1:20">
      <c r="A30" s="4">
        <v>18</v>
      </c>
      <c r="B30" s="5" t="s">
        <v>60</v>
      </c>
      <c r="C30" s="13" t="s">
        <v>61</v>
      </c>
      <c r="D30" s="48">
        <v>1</v>
      </c>
      <c r="E30" s="49">
        <f t="shared" ref="E30:I30" si="23">((D30*30)/50)</f>
        <v>0.6</v>
      </c>
      <c r="F30" s="48">
        <v>1</v>
      </c>
      <c r="G30" s="49">
        <f t="shared" si="23"/>
        <v>0.6</v>
      </c>
      <c r="H30" s="48">
        <v>1</v>
      </c>
      <c r="I30" s="49">
        <f t="shared" si="23"/>
        <v>0.6</v>
      </c>
      <c r="J30" s="49">
        <f t="shared" si="1"/>
        <v>0.6</v>
      </c>
      <c r="K30" s="48">
        <v>30</v>
      </c>
      <c r="L30" s="54">
        <f t="shared" si="2"/>
        <v>10</v>
      </c>
      <c r="M30" s="48">
        <v>1</v>
      </c>
      <c r="N30" s="48"/>
      <c r="O30" s="56">
        <f t="shared" si="3"/>
        <v>11.6</v>
      </c>
      <c r="P30" s="56">
        <f t="shared" si="4"/>
        <v>6.96</v>
      </c>
      <c r="Q30" s="56">
        <f>'Lab Component'!K30</f>
        <v>20</v>
      </c>
      <c r="R30" s="56">
        <f t="shared" si="5"/>
        <v>26.96</v>
      </c>
      <c r="S30" s="56">
        <f t="shared" si="6"/>
        <v>27</v>
      </c>
      <c r="T30" s="3"/>
    </row>
    <row r="31" spans="1:20">
      <c r="A31" s="4">
        <v>19</v>
      </c>
      <c r="B31" s="5" t="s">
        <v>62</v>
      </c>
      <c r="C31" s="13" t="s">
        <v>63</v>
      </c>
      <c r="D31" s="48">
        <v>1</v>
      </c>
      <c r="E31" s="49">
        <f t="shared" ref="E31:I31" si="24">((D31*30)/50)</f>
        <v>0.6</v>
      </c>
      <c r="F31" s="48">
        <v>1</v>
      </c>
      <c r="G31" s="49">
        <f t="shared" si="24"/>
        <v>0.6</v>
      </c>
      <c r="H31" s="48">
        <v>1</v>
      </c>
      <c r="I31" s="49">
        <f t="shared" si="24"/>
        <v>0.6</v>
      </c>
      <c r="J31" s="49">
        <f t="shared" si="1"/>
        <v>0.6</v>
      </c>
      <c r="K31" s="48">
        <v>30</v>
      </c>
      <c r="L31" s="54">
        <f t="shared" si="2"/>
        <v>10</v>
      </c>
      <c r="M31" s="48">
        <v>1</v>
      </c>
      <c r="N31" s="48"/>
      <c r="O31" s="56">
        <f t="shared" si="3"/>
        <v>11.6</v>
      </c>
      <c r="P31" s="56">
        <f t="shared" si="4"/>
        <v>6.96</v>
      </c>
      <c r="Q31" s="56">
        <f>'Lab Component'!K31</f>
        <v>20</v>
      </c>
      <c r="R31" s="56">
        <f t="shared" si="5"/>
        <v>26.96</v>
      </c>
      <c r="S31" s="56">
        <f t="shared" si="6"/>
        <v>27</v>
      </c>
      <c r="T31" s="3"/>
    </row>
    <row r="32" spans="1:20">
      <c r="A32" s="4">
        <v>20</v>
      </c>
      <c r="B32" s="5" t="s">
        <v>64</v>
      </c>
      <c r="C32" s="13" t="s">
        <v>65</v>
      </c>
      <c r="D32" s="48">
        <v>1</v>
      </c>
      <c r="E32" s="49">
        <f t="shared" ref="E32:I32" si="25">((D32*30)/50)</f>
        <v>0.6</v>
      </c>
      <c r="F32" s="48">
        <v>1</v>
      </c>
      <c r="G32" s="49">
        <f t="shared" si="25"/>
        <v>0.6</v>
      </c>
      <c r="H32" s="48">
        <v>1</v>
      </c>
      <c r="I32" s="49">
        <f t="shared" si="25"/>
        <v>0.6</v>
      </c>
      <c r="J32" s="49">
        <f t="shared" si="1"/>
        <v>0.6</v>
      </c>
      <c r="K32" s="48"/>
      <c r="L32" s="54">
        <f t="shared" si="2"/>
        <v>0</v>
      </c>
      <c r="M32" s="48">
        <v>1</v>
      </c>
      <c r="N32" s="48"/>
      <c r="O32" s="56">
        <f t="shared" si="3"/>
        <v>1.6</v>
      </c>
      <c r="P32" s="56">
        <f t="shared" si="4"/>
        <v>0.96</v>
      </c>
      <c r="Q32" s="56">
        <f>'Lab Component'!K32</f>
        <v>19</v>
      </c>
      <c r="R32" s="56">
        <f t="shared" si="5"/>
        <v>19.96</v>
      </c>
      <c r="S32" s="56">
        <f t="shared" si="6"/>
        <v>20</v>
      </c>
      <c r="T32" s="3"/>
    </row>
    <row r="33" spans="1:20">
      <c r="A33" s="4">
        <v>21</v>
      </c>
      <c r="B33" s="5" t="s">
        <v>66</v>
      </c>
      <c r="C33" s="13" t="s">
        <v>67</v>
      </c>
      <c r="D33" s="48">
        <v>1</v>
      </c>
      <c r="E33" s="49">
        <f t="shared" ref="E33:I33" si="26">((D33*30)/50)</f>
        <v>0.6</v>
      </c>
      <c r="F33" s="48">
        <v>1</v>
      </c>
      <c r="G33" s="49">
        <f t="shared" si="26"/>
        <v>0.6</v>
      </c>
      <c r="H33" s="48">
        <v>1</v>
      </c>
      <c r="I33" s="49">
        <f t="shared" si="26"/>
        <v>0.6</v>
      </c>
      <c r="J33" s="49">
        <f t="shared" si="1"/>
        <v>0.6</v>
      </c>
      <c r="K33" s="57">
        <v>30</v>
      </c>
      <c r="L33" s="54">
        <f t="shared" si="2"/>
        <v>10</v>
      </c>
      <c r="M33" s="48">
        <v>1</v>
      </c>
      <c r="N33" s="48"/>
      <c r="O33" s="56">
        <f t="shared" si="3"/>
        <v>11.6</v>
      </c>
      <c r="P33" s="56">
        <f t="shared" si="4"/>
        <v>6.96</v>
      </c>
      <c r="Q33" s="56">
        <f>'Lab Component'!K33</f>
        <v>20</v>
      </c>
      <c r="R33" s="56">
        <f t="shared" si="5"/>
        <v>26.96</v>
      </c>
      <c r="S33" s="56">
        <f t="shared" si="6"/>
        <v>27</v>
      </c>
      <c r="T33" s="3"/>
    </row>
    <row r="34" spans="1:20">
      <c r="A34" s="4">
        <v>22</v>
      </c>
      <c r="B34" s="5" t="s">
        <v>68</v>
      </c>
      <c r="C34" s="13" t="s">
        <v>69</v>
      </c>
      <c r="D34" s="48">
        <v>1</v>
      </c>
      <c r="E34" s="49">
        <f>((D34*30)/50)</f>
        <v>0.6</v>
      </c>
      <c r="F34" s="48">
        <v>1</v>
      </c>
      <c r="G34" s="49">
        <v>4</v>
      </c>
      <c r="H34" s="48">
        <v>1</v>
      </c>
      <c r="I34" s="49">
        <f>((H34*30)/50)</f>
        <v>0.6</v>
      </c>
      <c r="J34" s="49">
        <f t="shared" si="1"/>
        <v>1.73333333333333</v>
      </c>
      <c r="K34" s="58">
        <v>30</v>
      </c>
      <c r="L34" s="54">
        <f t="shared" si="2"/>
        <v>10</v>
      </c>
      <c r="M34" s="48">
        <v>1</v>
      </c>
      <c r="N34" s="48"/>
      <c r="O34" s="56">
        <f t="shared" si="3"/>
        <v>12.7333333333333</v>
      </c>
      <c r="P34" s="56">
        <f t="shared" si="4"/>
        <v>7.64</v>
      </c>
      <c r="Q34" s="56">
        <f>'Lab Component'!K34</f>
        <v>19</v>
      </c>
      <c r="R34" s="56">
        <f t="shared" si="5"/>
        <v>26.64</v>
      </c>
      <c r="S34" s="56">
        <f t="shared" si="6"/>
        <v>27</v>
      </c>
      <c r="T34" s="3"/>
    </row>
    <row r="35" spans="1:20">
      <c r="A35" s="4">
        <v>23</v>
      </c>
      <c r="B35" s="5" t="s">
        <v>70</v>
      </c>
      <c r="C35" s="13" t="s">
        <v>71</v>
      </c>
      <c r="D35" s="48">
        <v>1</v>
      </c>
      <c r="E35" s="49">
        <f t="shared" ref="E35:I35" si="27">((D35*30)/50)</f>
        <v>0.6</v>
      </c>
      <c r="F35" s="48">
        <v>1</v>
      </c>
      <c r="G35" s="49">
        <f t="shared" si="27"/>
        <v>0.6</v>
      </c>
      <c r="H35" s="48">
        <v>1</v>
      </c>
      <c r="I35" s="49">
        <f t="shared" si="27"/>
        <v>0.6</v>
      </c>
      <c r="J35" s="49">
        <f t="shared" si="1"/>
        <v>0.6</v>
      </c>
      <c r="K35" s="57">
        <v>30</v>
      </c>
      <c r="L35" s="54">
        <f t="shared" si="2"/>
        <v>10</v>
      </c>
      <c r="M35" s="48">
        <v>1</v>
      </c>
      <c r="N35" s="48"/>
      <c r="O35" s="56">
        <f t="shared" si="3"/>
        <v>11.6</v>
      </c>
      <c r="P35" s="56">
        <f t="shared" si="4"/>
        <v>6.96</v>
      </c>
      <c r="Q35" s="56">
        <f>'Lab Component'!K35</f>
        <v>19</v>
      </c>
      <c r="R35" s="56">
        <f t="shared" si="5"/>
        <v>25.96</v>
      </c>
      <c r="S35" s="56">
        <f t="shared" si="6"/>
        <v>26</v>
      </c>
      <c r="T35" s="3"/>
    </row>
    <row r="36" spans="1:20">
      <c r="A36" s="4">
        <v>24</v>
      </c>
      <c r="B36" s="5" t="s">
        <v>72</v>
      </c>
      <c r="C36" s="13" t="s">
        <v>73</v>
      </c>
      <c r="D36" s="48">
        <v>1</v>
      </c>
      <c r="E36" s="49">
        <f t="shared" ref="E36:I36" si="28">((D36*30)/50)</f>
        <v>0.6</v>
      </c>
      <c r="F36" s="48">
        <v>1</v>
      </c>
      <c r="G36" s="49">
        <f t="shared" si="28"/>
        <v>0.6</v>
      </c>
      <c r="H36" s="48">
        <v>1</v>
      </c>
      <c r="I36" s="49">
        <f t="shared" si="28"/>
        <v>0.6</v>
      </c>
      <c r="J36" s="49">
        <f t="shared" si="1"/>
        <v>0.6</v>
      </c>
      <c r="K36" s="58">
        <v>30</v>
      </c>
      <c r="L36" s="54">
        <f t="shared" si="2"/>
        <v>10</v>
      </c>
      <c r="M36" s="48">
        <v>1</v>
      </c>
      <c r="N36" s="48"/>
      <c r="O36" s="56">
        <f t="shared" si="3"/>
        <v>11.6</v>
      </c>
      <c r="P36" s="56">
        <f t="shared" si="4"/>
        <v>6.96</v>
      </c>
      <c r="Q36" s="56">
        <f>'Lab Component'!K36</f>
        <v>19</v>
      </c>
      <c r="R36" s="56">
        <f t="shared" si="5"/>
        <v>25.96</v>
      </c>
      <c r="S36" s="56">
        <f t="shared" si="6"/>
        <v>26</v>
      </c>
      <c r="T36" s="3"/>
    </row>
    <row r="37" spans="1:20">
      <c r="A37" s="4">
        <v>25</v>
      </c>
      <c r="B37" s="5" t="s">
        <v>74</v>
      </c>
      <c r="C37" s="13" t="s">
        <v>75</v>
      </c>
      <c r="D37" s="48">
        <v>1</v>
      </c>
      <c r="E37" s="49">
        <f t="shared" ref="E37:I37" si="29">((D37*30)/50)</f>
        <v>0.6</v>
      </c>
      <c r="F37" s="48">
        <v>1</v>
      </c>
      <c r="G37" s="49">
        <f t="shared" si="29"/>
        <v>0.6</v>
      </c>
      <c r="H37" s="48">
        <v>1</v>
      </c>
      <c r="I37" s="49">
        <f t="shared" si="29"/>
        <v>0.6</v>
      </c>
      <c r="J37" s="49">
        <f t="shared" si="1"/>
        <v>0.6</v>
      </c>
      <c r="K37" s="57">
        <v>30</v>
      </c>
      <c r="L37" s="54">
        <f t="shared" si="2"/>
        <v>10</v>
      </c>
      <c r="M37" s="48">
        <v>1</v>
      </c>
      <c r="N37" s="48"/>
      <c r="O37" s="56">
        <f t="shared" si="3"/>
        <v>11.6</v>
      </c>
      <c r="P37" s="56">
        <f t="shared" si="4"/>
        <v>6.96</v>
      </c>
      <c r="Q37" s="56">
        <f>'Lab Component'!K37</f>
        <v>20</v>
      </c>
      <c r="R37" s="56">
        <f t="shared" si="5"/>
        <v>26.96</v>
      </c>
      <c r="S37" s="56">
        <f t="shared" si="6"/>
        <v>27</v>
      </c>
      <c r="T37" s="3"/>
    </row>
    <row r="38" spans="1:20">
      <c r="A38" s="4">
        <v>26</v>
      </c>
      <c r="B38" s="5" t="s">
        <v>76</v>
      </c>
      <c r="C38" s="13" t="s">
        <v>77</v>
      </c>
      <c r="D38" s="48">
        <v>1</v>
      </c>
      <c r="E38" s="49">
        <f t="shared" ref="E38:I38" si="30">((D38*30)/50)</f>
        <v>0.6</v>
      </c>
      <c r="F38" s="48">
        <v>1</v>
      </c>
      <c r="G38" s="49">
        <f t="shared" si="30"/>
        <v>0.6</v>
      </c>
      <c r="H38" s="48">
        <v>1</v>
      </c>
      <c r="I38" s="49">
        <f t="shared" si="30"/>
        <v>0.6</v>
      </c>
      <c r="J38" s="49">
        <f t="shared" si="1"/>
        <v>0.6</v>
      </c>
      <c r="K38" s="58">
        <v>30</v>
      </c>
      <c r="L38" s="54">
        <f t="shared" si="2"/>
        <v>10</v>
      </c>
      <c r="M38" s="48">
        <v>1</v>
      </c>
      <c r="N38" s="48"/>
      <c r="O38" s="56">
        <f t="shared" si="3"/>
        <v>11.6</v>
      </c>
      <c r="P38" s="56">
        <f t="shared" si="4"/>
        <v>6.96</v>
      </c>
      <c r="Q38" s="56">
        <f>'Lab Component'!K38</f>
        <v>20</v>
      </c>
      <c r="R38" s="56">
        <f t="shared" si="5"/>
        <v>26.96</v>
      </c>
      <c r="S38" s="56">
        <f t="shared" si="6"/>
        <v>27</v>
      </c>
      <c r="T38" s="3"/>
    </row>
    <row r="39" spans="1:20">
      <c r="A39" s="4">
        <v>27</v>
      </c>
      <c r="B39" s="5" t="s">
        <v>78</v>
      </c>
      <c r="C39" s="13" t="s">
        <v>79</v>
      </c>
      <c r="D39" s="48">
        <v>1</v>
      </c>
      <c r="E39" s="49">
        <f t="shared" ref="E39:I39" si="31">((D39*30)/50)</f>
        <v>0.6</v>
      </c>
      <c r="F39" s="48">
        <v>1</v>
      </c>
      <c r="G39" s="49">
        <f t="shared" si="31"/>
        <v>0.6</v>
      </c>
      <c r="H39" s="48">
        <v>1</v>
      </c>
      <c r="I39" s="49">
        <f t="shared" si="31"/>
        <v>0.6</v>
      </c>
      <c r="J39" s="49">
        <f t="shared" si="1"/>
        <v>0.6</v>
      </c>
      <c r="K39" s="48">
        <v>30</v>
      </c>
      <c r="L39" s="54">
        <f t="shared" si="2"/>
        <v>10</v>
      </c>
      <c r="M39" s="48">
        <v>1</v>
      </c>
      <c r="N39" s="48"/>
      <c r="O39" s="56">
        <f t="shared" si="3"/>
        <v>11.6</v>
      </c>
      <c r="P39" s="56">
        <f t="shared" si="4"/>
        <v>6.96</v>
      </c>
      <c r="Q39" s="56">
        <f>'Lab Component'!K39</f>
        <v>19</v>
      </c>
      <c r="R39" s="56">
        <f t="shared" si="5"/>
        <v>25.96</v>
      </c>
      <c r="S39" s="56">
        <f t="shared" si="6"/>
        <v>26</v>
      </c>
      <c r="T39" s="3"/>
    </row>
    <row r="40" spans="1:20">
      <c r="A40" s="4">
        <v>28</v>
      </c>
      <c r="B40" s="5" t="s">
        <v>80</v>
      </c>
      <c r="C40" s="13" t="s">
        <v>81</v>
      </c>
      <c r="D40" s="48">
        <v>1</v>
      </c>
      <c r="E40" s="49">
        <f t="shared" ref="E40:I40" si="32">((D40*30)/50)</f>
        <v>0.6</v>
      </c>
      <c r="F40" s="48">
        <v>1</v>
      </c>
      <c r="G40" s="49">
        <f t="shared" si="32"/>
        <v>0.6</v>
      </c>
      <c r="H40" s="48">
        <v>1</v>
      </c>
      <c r="I40" s="49">
        <f t="shared" si="32"/>
        <v>0.6</v>
      </c>
      <c r="J40" s="49">
        <f t="shared" si="1"/>
        <v>0.6</v>
      </c>
      <c r="K40" s="48">
        <v>30</v>
      </c>
      <c r="L40" s="54">
        <f t="shared" si="2"/>
        <v>10</v>
      </c>
      <c r="M40" s="48">
        <v>1</v>
      </c>
      <c r="N40" s="48"/>
      <c r="O40" s="56">
        <f t="shared" si="3"/>
        <v>11.6</v>
      </c>
      <c r="P40" s="56">
        <f t="shared" si="4"/>
        <v>6.96</v>
      </c>
      <c r="Q40" s="56">
        <f>'Lab Component'!K40</f>
        <v>20</v>
      </c>
      <c r="R40" s="56">
        <f t="shared" si="5"/>
        <v>26.96</v>
      </c>
      <c r="S40" s="56">
        <f t="shared" si="6"/>
        <v>27</v>
      </c>
      <c r="T40" s="3"/>
    </row>
    <row r="41" spans="1:20">
      <c r="A41" s="4">
        <v>29</v>
      </c>
      <c r="B41" s="5" t="s">
        <v>82</v>
      </c>
      <c r="C41" s="13" t="s">
        <v>83</v>
      </c>
      <c r="D41" s="48">
        <v>1</v>
      </c>
      <c r="E41" s="49">
        <f t="shared" ref="E41:I41" si="33">((D41*30)/50)</f>
        <v>0.6</v>
      </c>
      <c r="F41" s="48">
        <v>1</v>
      </c>
      <c r="G41" s="49">
        <f t="shared" si="33"/>
        <v>0.6</v>
      </c>
      <c r="H41" s="48">
        <v>1</v>
      </c>
      <c r="I41" s="49">
        <f t="shared" si="33"/>
        <v>0.6</v>
      </c>
      <c r="J41" s="49">
        <f t="shared" si="1"/>
        <v>0.6</v>
      </c>
      <c r="K41" s="48">
        <v>30</v>
      </c>
      <c r="L41" s="54">
        <f t="shared" si="2"/>
        <v>10</v>
      </c>
      <c r="M41" s="48">
        <v>1</v>
      </c>
      <c r="N41" s="48"/>
      <c r="O41" s="56">
        <f t="shared" si="3"/>
        <v>11.6</v>
      </c>
      <c r="P41" s="56">
        <f t="shared" si="4"/>
        <v>6.96</v>
      </c>
      <c r="Q41" s="56">
        <f>'Lab Component'!K41</f>
        <v>20</v>
      </c>
      <c r="R41" s="56">
        <f t="shared" si="5"/>
        <v>26.96</v>
      </c>
      <c r="S41" s="56">
        <f t="shared" si="6"/>
        <v>27</v>
      </c>
      <c r="T41" s="3"/>
    </row>
    <row r="42" spans="1:20">
      <c r="A42" s="4">
        <v>30</v>
      </c>
      <c r="B42" s="5" t="s">
        <v>84</v>
      </c>
      <c r="C42" s="13" t="s">
        <v>85</v>
      </c>
      <c r="D42" s="48">
        <v>1</v>
      </c>
      <c r="E42" s="49">
        <f t="shared" ref="E42:I42" si="34">((D42*30)/50)</f>
        <v>0.6</v>
      </c>
      <c r="F42" s="48">
        <v>1</v>
      </c>
      <c r="G42" s="49">
        <f t="shared" si="34"/>
        <v>0.6</v>
      </c>
      <c r="H42" s="48">
        <v>1</v>
      </c>
      <c r="I42" s="49">
        <f t="shared" si="34"/>
        <v>0.6</v>
      </c>
      <c r="J42" s="49">
        <f t="shared" si="1"/>
        <v>0.6</v>
      </c>
      <c r="K42" s="48">
        <v>30</v>
      </c>
      <c r="L42" s="54">
        <f t="shared" si="2"/>
        <v>10</v>
      </c>
      <c r="M42" s="48">
        <v>1</v>
      </c>
      <c r="N42" s="48"/>
      <c r="O42" s="56">
        <f t="shared" si="3"/>
        <v>11.6</v>
      </c>
      <c r="P42" s="56">
        <f t="shared" si="4"/>
        <v>6.96</v>
      </c>
      <c r="Q42" s="56">
        <f>'Lab Component'!K42</f>
        <v>20</v>
      </c>
      <c r="R42" s="56">
        <f t="shared" si="5"/>
        <v>26.96</v>
      </c>
      <c r="S42" s="56">
        <f t="shared" si="6"/>
        <v>27</v>
      </c>
      <c r="T42" s="3"/>
    </row>
    <row r="43" spans="1:20">
      <c r="A43" s="4">
        <v>31</v>
      </c>
      <c r="B43" s="5" t="s">
        <v>86</v>
      </c>
      <c r="C43" s="13" t="s">
        <v>87</v>
      </c>
      <c r="D43" s="48">
        <v>1</v>
      </c>
      <c r="E43" s="49">
        <f t="shared" ref="E43:I43" si="35">((D43*30)/50)</f>
        <v>0.6</v>
      </c>
      <c r="F43" s="48">
        <v>1</v>
      </c>
      <c r="G43" s="49">
        <f t="shared" si="35"/>
        <v>0.6</v>
      </c>
      <c r="H43" s="48">
        <v>1</v>
      </c>
      <c r="I43" s="49">
        <f t="shared" si="35"/>
        <v>0.6</v>
      </c>
      <c r="J43" s="49">
        <f t="shared" si="1"/>
        <v>0.6</v>
      </c>
      <c r="K43" s="48">
        <v>30</v>
      </c>
      <c r="L43" s="54">
        <f t="shared" si="2"/>
        <v>10</v>
      </c>
      <c r="M43" s="48">
        <v>1</v>
      </c>
      <c r="N43" s="48"/>
      <c r="O43" s="56">
        <f t="shared" si="3"/>
        <v>11.6</v>
      </c>
      <c r="P43" s="56">
        <f t="shared" si="4"/>
        <v>6.96</v>
      </c>
      <c r="Q43" s="56">
        <f>'Lab Component'!K43</f>
        <v>19</v>
      </c>
      <c r="R43" s="56">
        <f t="shared" si="5"/>
        <v>25.96</v>
      </c>
      <c r="S43" s="56">
        <f t="shared" si="6"/>
        <v>26</v>
      </c>
      <c r="T43" s="3"/>
    </row>
    <row r="44" spans="1:20">
      <c r="A44" s="4">
        <v>32</v>
      </c>
      <c r="B44" s="5" t="s">
        <v>88</v>
      </c>
      <c r="C44" s="13" t="s">
        <v>89</v>
      </c>
      <c r="D44" s="48">
        <v>1</v>
      </c>
      <c r="E44" s="49">
        <f t="shared" ref="E44:I44" si="36">((D44*30)/50)</f>
        <v>0.6</v>
      </c>
      <c r="F44" s="48">
        <v>1</v>
      </c>
      <c r="G44" s="49">
        <f t="shared" si="36"/>
        <v>0.6</v>
      </c>
      <c r="H44" s="48">
        <v>1</v>
      </c>
      <c r="I44" s="49">
        <f t="shared" si="36"/>
        <v>0.6</v>
      </c>
      <c r="J44" s="49">
        <f t="shared" si="1"/>
        <v>0.6</v>
      </c>
      <c r="K44" s="48">
        <v>30</v>
      </c>
      <c r="L44" s="54">
        <f t="shared" si="2"/>
        <v>10</v>
      </c>
      <c r="M44" s="48">
        <v>1</v>
      </c>
      <c r="N44" s="48"/>
      <c r="O44" s="56">
        <f t="shared" si="3"/>
        <v>11.6</v>
      </c>
      <c r="P44" s="56">
        <f t="shared" si="4"/>
        <v>6.96</v>
      </c>
      <c r="Q44" s="56">
        <f>'Lab Component'!K44</f>
        <v>20</v>
      </c>
      <c r="R44" s="56">
        <f t="shared" si="5"/>
        <v>26.96</v>
      </c>
      <c r="S44" s="56">
        <f t="shared" si="6"/>
        <v>27</v>
      </c>
      <c r="T44" s="3"/>
    </row>
    <row r="45" spans="1:20">
      <c r="A45" s="4">
        <v>33</v>
      </c>
      <c r="B45" s="5" t="s">
        <v>90</v>
      </c>
      <c r="C45" s="13" t="s">
        <v>91</v>
      </c>
      <c r="D45" s="48">
        <v>1</v>
      </c>
      <c r="E45" s="49">
        <f t="shared" ref="E45:I45" si="37">((D45*30)/50)</f>
        <v>0.6</v>
      </c>
      <c r="F45" s="48">
        <v>1</v>
      </c>
      <c r="G45" s="49">
        <f t="shared" si="37"/>
        <v>0.6</v>
      </c>
      <c r="H45" s="48">
        <v>1</v>
      </c>
      <c r="I45" s="49">
        <f t="shared" si="37"/>
        <v>0.6</v>
      </c>
      <c r="J45" s="49">
        <f t="shared" si="1"/>
        <v>0.6</v>
      </c>
      <c r="K45" s="48">
        <v>30</v>
      </c>
      <c r="L45" s="54">
        <f t="shared" si="2"/>
        <v>10</v>
      </c>
      <c r="M45" s="48">
        <v>1</v>
      </c>
      <c r="N45" s="48"/>
      <c r="O45" s="56">
        <f t="shared" si="3"/>
        <v>11.6</v>
      </c>
      <c r="P45" s="56">
        <f t="shared" si="4"/>
        <v>6.96</v>
      </c>
      <c r="Q45" s="56">
        <f>'Lab Component'!K45</f>
        <v>19</v>
      </c>
      <c r="R45" s="56">
        <f t="shared" si="5"/>
        <v>25.96</v>
      </c>
      <c r="S45" s="56">
        <f t="shared" si="6"/>
        <v>26</v>
      </c>
      <c r="T45" s="3"/>
    </row>
    <row r="46" spans="1:20">
      <c r="A46" s="4">
        <v>34</v>
      </c>
      <c r="B46" s="5" t="s">
        <v>92</v>
      </c>
      <c r="C46" s="13" t="s">
        <v>93</v>
      </c>
      <c r="D46" s="48">
        <v>1</v>
      </c>
      <c r="E46" s="49">
        <f t="shared" ref="E46:I46" si="38">((D46*30)/50)</f>
        <v>0.6</v>
      </c>
      <c r="F46" s="48">
        <v>1</v>
      </c>
      <c r="G46" s="49">
        <f t="shared" si="38"/>
        <v>0.6</v>
      </c>
      <c r="H46" s="48">
        <v>1</v>
      </c>
      <c r="I46" s="49">
        <f t="shared" si="38"/>
        <v>0.6</v>
      </c>
      <c r="J46" s="49">
        <f t="shared" si="1"/>
        <v>0.6</v>
      </c>
      <c r="K46" s="48">
        <v>30</v>
      </c>
      <c r="L46" s="54">
        <f t="shared" si="2"/>
        <v>10</v>
      </c>
      <c r="M46" s="48">
        <v>1</v>
      </c>
      <c r="N46" s="48"/>
      <c r="O46" s="56">
        <f t="shared" si="3"/>
        <v>11.6</v>
      </c>
      <c r="P46" s="56">
        <f t="shared" si="4"/>
        <v>6.96</v>
      </c>
      <c r="Q46" s="56">
        <f>'Lab Component'!K46</f>
        <v>20</v>
      </c>
      <c r="R46" s="56">
        <f t="shared" si="5"/>
        <v>26.96</v>
      </c>
      <c r="S46" s="56">
        <f t="shared" si="6"/>
        <v>27</v>
      </c>
      <c r="T46" s="3"/>
    </row>
    <row r="47" spans="1:20">
      <c r="A47" s="4">
        <v>35</v>
      </c>
      <c r="B47" s="5" t="s">
        <v>94</v>
      </c>
      <c r="C47" s="13" t="s">
        <v>95</v>
      </c>
      <c r="D47" s="48">
        <v>1</v>
      </c>
      <c r="E47" s="49">
        <f t="shared" ref="E47:I47" si="39">((D47*30)/50)</f>
        <v>0.6</v>
      </c>
      <c r="F47" s="48">
        <v>1</v>
      </c>
      <c r="G47" s="49">
        <f t="shared" si="39"/>
        <v>0.6</v>
      </c>
      <c r="H47" s="48">
        <v>1</v>
      </c>
      <c r="I47" s="49">
        <f t="shared" si="39"/>
        <v>0.6</v>
      </c>
      <c r="J47" s="49">
        <f t="shared" si="1"/>
        <v>0.6</v>
      </c>
      <c r="K47" s="48">
        <v>30</v>
      </c>
      <c r="L47" s="54">
        <f t="shared" si="2"/>
        <v>10</v>
      </c>
      <c r="M47" s="48">
        <v>1</v>
      </c>
      <c r="N47" s="48"/>
      <c r="O47" s="56">
        <f t="shared" si="3"/>
        <v>11.6</v>
      </c>
      <c r="P47" s="56">
        <f t="shared" si="4"/>
        <v>6.96</v>
      </c>
      <c r="Q47" s="56">
        <f>'Lab Component'!K47</f>
        <v>19</v>
      </c>
      <c r="R47" s="56">
        <f t="shared" si="5"/>
        <v>25.96</v>
      </c>
      <c r="S47" s="56">
        <f t="shared" si="6"/>
        <v>26</v>
      </c>
      <c r="T47" s="3"/>
    </row>
    <row r="48" spans="1:20">
      <c r="A48" s="4">
        <v>36</v>
      </c>
      <c r="B48" s="5" t="s">
        <v>96</v>
      </c>
      <c r="C48" s="13" t="s">
        <v>97</v>
      </c>
      <c r="D48" s="48">
        <v>1</v>
      </c>
      <c r="E48" s="49">
        <f t="shared" ref="E48:I48" si="40">((D48*30)/50)</f>
        <v>0.6</v>
      </c>
      <c r="F48" s="48">
        <v>1</v>
      </c>
      <c r="G48" s="49">
        <f t="shared" si="40"/>
        <v>0.6</v>
      </c>
      <c r="H48" s="48">
        <v>1</v>
      </c>
      <c r="I48" s="49">
        <f t="shared" si="40"/>
        <v>0.6</v>
      </c>
      <c r="J48" s="49">
        <f t="shared" si="1"/>
        <v>0.6</v>
      </c>
      <c r="K48" s="48">
        <v>30</v>
      </c>
      <c r="L48" s="54">
        <f t="shared" si="2"/>
        <v>10</v>
      </c>
      <c r="M48" s="48">
        <v>1</v>
      </c>
      <c r="N48" s="48"/>
      <c r="O48" s="56">
        <f t="shared" si="3"/>
        <v>11.6</v>
      </c>
      <c r="P48" s="56">
        <f t="shared" si="4"/>
        <v>6.96</v>
      </c>
      <c r="Q48" s="56">
        <f>'Lab Component'!K48</f>
        <v>19</v>
      </c>
      <c r="R48" s="56">
        <f t="shared" si="5"/>
        <v>25.96</v>
      </c>
      <c r="S48" s="56">
        <f t="shared" si="6"/>
        <v>26</v>
      </c>
      <c r="T48" s="3"/>
    </row>
    <row r="49" spans="1:20">
      <c r="A49" s="4">
        <v>37</v>
      </c>
      <c r="B49" s="5" t="s">
        <v>98</v>
      </c>
      <c r="C49" s="13" t="s">
        <v>99</v>
      </c>
      <c r="D49" s="48">
        <v>1</v>
      </c>
      <c r="E49" s="49">
        <f t="shared" ref="E49:I49" si="41">((D49*30)/50)</f>
        <v>0.6</v>
      </c>
      <c r="F49" s="48">
        <v>1</v>
      </c>
      <c r="G49" s="49">
        <f t="shared" si="41"/>
        <v>0.6</v>
      </c>
      <c r="H49" s="48">
        <v>1</v>
      </c>
      <c r="I49" s="49">
        <f t="shared" si="41"/>
        <v>0.6</v>
      </c>
      <c r="J49" s="49">
        <f t="shared" si="1"/>
        <v>0.6</v>
      </c>
      <c r="K49" s="48">
        <v>30</v>
      </c>
      <c r="L49" s="54">
        <f t="shared" si="2"/>
        <v>10</v>
      </c>
      <c r="M49" s="48">
        <v>1</v>
      </c>
      <c r="N49" s="48"/>
      <c r="O49" s="56">
        <f t="shared" si="3"/>
        <v>11.6</v>
      </c>
      <c r="P49" s="56">
        <f t="shared" si="4"/>
        <v>6.96</v>
      </c>
      <c r="Q49" s="56">
        <f>'Lab Component'!K49</f>
        <v>18</v>
      </c>
      <c r="R49" s="56">
        <f t="shared" si="5"/>
        <v>24.96</v>
      </c>
      <c r="S49" s="56">
        <f t="shared" si="6"/>
        <v>25</v>
      </c>
      <c r="T49" s="3"/>
    </row>
    <row r="50" spans="1:20">
      <c r="A50" s="4">
        <v>38</v>
      </c>
      <c r="B50" s="5" t="s">
        <v>100</v>
      </c>
      <c r="C50" s="13" t="s">
        <v>101</v>
      </c>
      <c r="D50" s="48">
        <v>1</v>
      </c>
      <c r="E50" s="49">
        <f t="shared" ref="E50:I50" si="42">((D50*30)/50)</f>
        <v>0.6</v>
      </c>
      <c r="F50" s="48">
        <v>1</v>
      </c>
      <c r="G50" s="49">
        <f t="shared" si="42"/>
        <v>0.6</v>
      </c>
      <c r="H50" s="48">
        <v>1</v>
      </c>
      <c r="I50" s="49">
        <f t="shared" si="42"/>
        <v>0.6</v>
      </c>
      <c r="J50" s="49">
        <f t="shared" si="1"/>
        <v>0.6</v>
      </c>
      <c r="K50" s="48">
        <v>30</v>
      </c>
      <c r="L50" s="54">
        <f t="shared" si="2"/>
        <v>10</v>
      </c>
      <c r="M50" s="48">
        <v>1</v>
      </c>
      <c r="N50" s="48"/>
      <c r="O50" s="56">
        <f t="shared" si="3"/>
        <v>11.6</v>
      </c>
      <c r="P50" s="56">
        <f t="shared" si="4"/>
        <v>6.96</v>
      </c>
      <c r="Q50" s="56">
        <f>'Lab Component'!K50</f>
        <v>20</v>
      </c>
      <c r="R50" s="56">
        <f t="shared" si="5"/>
        <v>26.96</v>
      </c>
      <c r="S50" s="56">
        <f t="shared" si="6"/>
        <v>27</v>
      </c>
      <c r="T50" s="3"/>
    </row>
    <row r="51" spans="1:20">
      <c r="A51" s="4">
        <v>39</v>
      </c>
      <c r="B51" s="5" t="s">
        <v>102</v>
      </c>
      <c r="C51" s="13" t="s">
        <v>103</v>
      </c>
      <c r="D51" s="48">
        <v>1</v>
      </c>
      <c r="E51" s="49">
        <f t="shared" ref="E51:I51" si="43">((D51*30)/50)</f>
        <v>0.6</v>
      </c>
      <c r="F51" s="48">
        <v>1</v>
      </c>
      <c r="G51" s="49">
        <f t="shared" si="43"/>
        <v>0.6</v>
      </c>
      <c r="H51" s="48">
        <v>1</v>
      </c>
      <c r="I51" s="49">
        <f t="shared" si="43"/>
        <v>0.6</v>
      </c>
      <c r="J51" s="49">
        <f t="shared" si="1"/>
        <v>0.6</v>
      </c>
      <c r="K51" s="48">
        <v>30</v>
      </c>
      <c r="L51" s="54">
        <f t="shared" si="2"/>
        <v>10</v>
      </c>
      <c r="M51" s="48">
        <v>1</v>
      </c>
      <c r="N51" s="48"/>
      <c r="O51" s="56">
        <f t="shared" si="3"/>
        <v>11.6</v>
      </c>
      <c r="P51" s="56">
        <f t="shared" si="4"/>
        <v>6.96</v>
      </c>
      <c r="Q51" s="56">
        <f>'Lab Component'!K51</f>
        <v>20</v>
      </c>
      <c r="R51" s="56">
        <f t="shared" si="5"/>
        <v>26.96</v>
      </c>
      <c r="S51" s="56">
        <f t="shared" si="6"/>
        <v>27</v>
      </c>
      <c r="T51" s="3"/>
    </row>
    <row r="52" spans="1:20">
      <c r="A52" s="4">
        <v>40</v>
      </c>
      <c r="B52" s="5" t="s">
        <v>104</v>
      </c>
      <c r="C52" s="13" t="s">
        <v>105</v>
      </c>
      <c r="D52" s="48">
        <v>1</v>
      </c>
      <c r="E52" s="49">
        <f t="shared" ref="E52:I52" si="44">((D52*30)/50)</f>
        <v>0.6</v>
      </c>
      <c r="F52" s="48">
        <v>1</v>
      </c>
      <c r="G52" s="49">
        <f t="shared" si="44"/>
        <v>0.6</v>
      </c>
      <c r="H52" s="48">
        <v>1</v>
      </c>
      <c r="I52" s="49">
        <f t="shared" si="44"/>
        <v>0.6</v>
      </c>
      <c r="J52" s="49">
        <f t="shared" si="1"/>
        <v>0.6</v>
      </c>
      <c r="K52" s="48">
        <v>30</v>
      </c>
      <c r="L52" s="54">
        <f t="shared" si="2"/>
        <v>10</v>
      </c>
      <c r="M52" s="48">
        <v>1</v>
      </c>
      <c r="N52" s="48"/>
      <c r="O52" s="56">
        <f t="shared" si="3"/>
        <v>11.6</v>
      </c>
      <c r="P52" s="56">
        <f t="shared" si="4"/>
        <v>6.96</v>
      </c>
      <c r="Q52" s="56">
        <f>'Lab Component'!K52</f>
        <v>20</v>
      </c>
      <c r="R52" s="56">
        <f t="shared" si="5"/>
        <v>26.96</v>
      </c>
      <c r="S52" s="56">
        <f t="shared" si="6"/>
        <v>27</v>
      </c>
      <c r="T52" s="3"/>
    </row>
    <row r="53" spans="1:20">
      <c r="A53" s="4">
        <v>41</v>
      </c>
      <c r="B53" s="5" t="s">
        <v>106</v>
      </c>
      <c r="C53" s="13" t="s">
        <v>107</v>
      </c>
      <c r="D53" s="48">
        <v>1</v>
      </c>
      <c r="E53" s="49">
        <f t="shared" ref="E53:I53" si="45">((D53*30)/50)</f>
        <v>0.6</v>
      </c>
      <c r="F53" s="48">
        <v>1</v>
      </c>
      <c r="G53" s="49">
        <f t="shared" si="45"/>
        <v>0.6</v>
      </c>
      <c r="H53" s="48">
        <v>1</v>
      </c>
      <c r="I53" s="49">
        <f t="shared" si="45"/>
        <v>0.6</v>
      </c>
      <c r="J53" s="49">
        <f t="shared" si="1"/>
        <v>0.6</v>
      </c>
      <c r="K53" s="48">
        <v>30</v>
      </c>
      <c r="L53" s="54">
        <f t="shared" si="2"/>
        <v>10</v>
      </c>
      <c r="M53" s="48">
        <v>1</v>
      </c>
      <c r="N53" s="48"/>
      <c r="O53" s="56">
        <f t="shared" si="3"/>
        <v>11.6</v>
      </c>
      <c r="P53" s="56">
        <f t="shared" si="4"/>
        <v>6.96</v>
      </c>
      <c r="Q53" s="56">
        <f>'Lab Component'!K53</f>
        <v>19</v>
      </c>
      <c r="R53" s="56">
        <f t="shared" si="5"/>
        <v>25.96</v>
      </c>
      <c r="S53" s="56">
        <f t="shared" si="6"/>
        <v>26</v>
      </c>
      <c r="T53" s="3"/>
    </row>
    <row r="54" spans="1:20">
      <c r="A54" s="4">
        <v>42</v>
      </c>
      <c r="B54" s="5" t="s">
        <v>108</v>
      </c>
      <c r="C54" s="13" t="s">
        <v>109</v>
      </c>
      <c r="D54" s="48">
        <v>1</v>
      </c>
      <c r="E54" s="49">
        <f t="shared" ref="E54:I54" si="46">((D54*30)/50)</f>
        <v>0.6</v>
      </c>
      <c r="F54" s="48">
        <v>1</v>
      </c>
      <c r="G54" s="49">
        <f t="shared" si="46"/>
        <v>0.6</v>
      </c>
      <c r="H54" s="48">
        <v>1</v>
      </c>
      <c r="I54" s="49">
        <f t="shared" si="46"/>
        <v>0.6</v>
      </c>
      <c r="J54" s="49">
        <f t="shared" si="1"/>
        <v>0.6</v>
      </c>
      <c r="K54" s="48">
        <v>30</v>
      </c>
      <c r="L54" s="54">
        <f t="shared" si="2"/>
        <v>10</v>
      </c>
      <c r="M54" s="48">
        <v>1</v>
      </c>
      <c r="N54" s="48"/>
      <c r="O54" s="56">
        <f t="shared" si="3"/>
        <v>11.6</v>
      </c>
      <c r="P54" s="56">
        <f t="shared" si="4"/>
        <v>6.96</v>
      </c>
      <c r="Q54" s="56">
        <f>'Lab Component'!K54</f>
        <v>19</v>
      </c>
      <c r="R54" s="56">
        <f t="shared" si="5"/>
        <v>25.96</v>
      </c>
      <c r="S54" s="56">
        <f t="shared" si="6"/>
        <v>26</v>
      </c>
      <c r="T54" s="3"/>
    </row>
    <row r="55" spans="1:20">
      <c r="A55" s="4">
        <v>43</v>
      </c>
      <c r="B55" s="5" t="s">
        <v>110</v>
      </c>
      <c r="C55" s="13" t="s">
        <v>111</v>
      </c>
      <c r="D55" s="48">
        <v>1</v>
      </c>
      <c r="E55" s="49">
        <f t="shared" ref="E55:I55" si="47">((D55*30)/50)</f>
        <v>0.6</v>
      </c>
      <c r="F55" s="48">
        <v>1</v>
      </c>
      <c r="G55" s="49">
        <f t="shared" si="47"/>
        <v>0.6</v>
      </c>
      <c r="H55" s="48">
        <v>1</v>
      </c>
      <c r="I55" s="49">
        <f t="shared" si="47"/>
        <v>0.6</v>
      </c>
      <c r="J55" s="49">
        <f t="shared" si="1"/>
        <v>0.6</v>
      </c>
      <c r="K55" s="48">
        <v>30</v>
      </c>
      <c r="L55" s="54">
        <f t="shared" si="2"/>
        <v>10</v>
      </c>
      <c r="M55" s="48">
        <v>1</v>
      </c>
      <c r="N55" s="48"/>
      <c r="O55" s="56">
        <f t="shared" si="3"/>
        <v>11.6</v>
      </c>
      <c r="P55" s="56">
        <f t="shared" si="4"/>
        <v>6.96</v>
      </c>
      <c r="Q55" s="56">
        <f>'Lab Component'!K55</f>
        <v>19</v>
      </c>
      <c r="R55" s="56">
        <f t="shared" si="5"/>
        <v>25.96</v>
      </c>
      <c r="S55" s="56">
        <f t="shared" si="6"/>
        <v>26</v>
      </c>
      <c r="T55" s="3"/>
    </row>
    <row r="56" spans="1:20">
      <c r="A56" s="4">
        <v>44</v>
      </c>
      <c r="B56" s="5" t="s">
        <v>112</v>
      </c>
      <c r="C56" s="13" t="s">
        <v>113</v>
      </c>
      <c r="D56" s="48">
        <v>1</v>
      </c>
      <c r="E56" s="49">
        <f t="shared" ref="E56:I56" si="48">((D56*30)/50)</f>
        <v>0.6</v>
      </c>
      <c r="F56" s="48">
        <v>1</v>
      </c>
      <c r="G56" s="49">
        <f t="shared" si="48"/>
        <v>0.6</v>
      </c>
      <c r="H56" s="48">
        <v>1</v>
      </c>
      <c r="I56" s="49">
        <f t="shared" si="48"/>
        <v>0.6</v>
      </c>
      <c r="J56" s="49">
        <f t="shared" si="1"/>
        <v>0.6</v>
      </c>
      <c r="K56" s="48">
        <v>30</v>
      </c>
      <c r="L56" s="54">
        <f t="shared" si="2"/>
        <v>10</v>
      </c>
      <c r="M56" s="48">
        <v>1</v>
      </c>
      <c r="N56" s="48"/>
      <c r="O56" s="56">
        <f t="shared" si="3"/>
        <v>11.6</v>
      </c>
      <c r="P56" s="56">
        <f t="shared" si="4"/>
        <v>6.96</v>
      </c>
      <c r="Q56" s="56">
        <f>'Lab Component'!K56</f>
        <v>19</v>
      </c>
      <c r="R56" s="56">
        <f t="shared" si="5"/>
        <v>25.96</v>
      </c>
      <c r="S56" s="56">
        <f t="shared" si="6"/>
        <v>26</v>
      </c>
      <c r="T56" s="3"/>
    </row>
    <row r="57" spans="1:20">
      <c r="A57" s="4">
        <v>45</v>
      </c>
      <c r="B57" s="5" t="s">
        <v>114</v>
      </c>
      <c r="C57" s="13" t="s">
        <v>115</v>
      </c>
      <c r="D57" s="48">
        <v>1</v>
      </c>
      <c r="E57" s="49">
        <f t="shared" ref="E57:I57" si="49">((D57*30)/50)</f>
        <v>0.6</v>
      </c>
      <c r="F57" s="48">
        <v>1</v>
      </c>
      <c r="G57" s="49">
        <f t="shared" si="49"/>
        <v>0.6</v>
      </c>
      <c r="H57" s="48">
        <v>1</v>
      </c>
      <c r="I57" s="49">
        <f t="shared" si="49"/>
        <v>0.6</v>
      </c>
      <c r="J57" s="49">
        <f t="shared" si="1"/>
        <v>0.6</v>
      </c>
      <c r="K57" s="48">
        <v>30</v>
      </c>
      <c r="L57" s="54">
        <f t="shared" si="2"/>
        <v>10</v>
      </c>
      <c r="M57" s="48">
        <v>1</v>
      </c>
      <c r="N57" s="48"/>
      <c r="O57" s="56">
        <f t="shared" si="3"/>
        <v>11.6</v>
      </c>
      <c r="P57" s="56">
        <f t="shared" si="4"/>
        <v>6.96</v>
      </c>
      <c r="Q57" s="56">
        <f>'Lab Component'!K57</f>
        <v>19</v>
      </c>
      <c r="R57" s="56">
        <f t="shared" si="5"/>
        <v>25.96</v>
      </c>
      <c r="S57" s="56">
        <f t="shared" si="6"/>
        <v>26</v>
      </c>
      <c r="T57" s="3"/>
    </row>
    <row r="58" spans="1:20">
      <c r="A58" s="4">
        <v>46</v>
      </c>
      <c r="B58" s="5" t="s">
        <v>116</v>
      </c>
      <c r="C58" s="13" t="s">
        <v>117</v>
      </c>
      <c r="D58" s="48">
        <v>1</v>
      </c>
      <c r="E58" s="49">
        <f t="shared" ref="E58:I58" si="50">((D58*30)/50)</f>
        <v>0.6</v>
      </c>
      <c r="F58" s="48">
        <v>1</v>
      </c>
      <c r="G58" s="49">
        <f t="shared" si="50"/>
        <v>0.6</v>
      </c>
      <c r="H58" s="48">
        <v>1</v>
      </c>
      <c r="I58" s="49">
        <f t="shared" si="50"/>
        <v>0.6</v>
      </c>
      <c r="J58" s="49">
        <f t="shared" si="1"/>
        <v>0.6</v>
      </c>
      <c r="K58" s="48">
        <v>30</v>
      </c>
      <c r="L58" s="54">
        <f t="shared" si="2"/>
        <v>10</v>
      </c>
      <c r="M58" s="48">
        <v>1</v>
      </c>
      <c r="N58" s="48"/>
      <c r="O58" s="56">
        <f t="shared" si="3"/>
        <v>11.6</v>
      </c>
      <c r="P58" s="56">
        <f t="shared" si="4"/>
        <v>6.96</v>
      </c>
      <c r="Q58" s="56">
        <f>'Lab Component'!K58</f>
        <v>18</v>
      </c>
      <c r="R58" s="56">
        <f t="shared" si="5"/>
        <v>24.96</v>
      </c>
      <c r="S58" s="56">
        <f t="shared" si="6"/>
        <v>25</v>
      </c>
      <c r="T58" s="3"/>
    </row>
    <row r="59" spans="1:20">
      <c r="A59" s="4">
        <v>47</v>
      </c>
      <c r="B59" s="5" t="s">
        <v>118</v>
      </c>
      <c r="C59" s="13" t="s">
        <v>119</v>
      </c>
      <c r="D59" s="48">
        <v>1</v>
      </c>
      <c r="E59" s="49">
        <f t="shared" ref="E59:I59" si="51">((D59*30)/50)</f>
        <v>0.6</v>
      </c>
      <c r="F59" s="48">
        <v>1</v>
      </c>
      <c r="G59" s="49">
        <f t="shared" si="51"/>
        <v>0.6</v>
      </c>
      <c r="H59" s="48">
        <v>1</v>
      </c>
      <c r="I59" s="49">
        <f t="shared" si="51"/>
        <v>0.6</v>
      </c>
      <c r="J59" s="49">
        <f t="shared" si="1"/>
        <v>0.6</v>
      </c>
      <c r="K59" s="48">
        <v>30</v>
      </c>
      <c r="L59" s="54">
        <f t="shared" si="2"/>
        <v>10</v>
      </c>
      <c r="M59" s="48">
        <v>1</v>
      </c>
      <c r="N59" s="48"/>
      <c r="O59" s="56">
        <f t="shared" si="3"/>
        <v>11.6</v>
      </c>
      <c r="P59" s="56">
        <f t="shared" si="4"/>
        <v>6.96</v>
      </c>
      <c r="Q59" s="56">
        <f>'Lab Component'!K59</f>
        <v>18</v>
      </c>
      <c r="R59" s="56">
        <f t="shared" si="5"/>
        <v>24.96</v>
      </c>
      <c r="S59" s="56">
        <f t="shared" si="6"/>
        <v>25</v>
      </c>
      <c r="T59" s="3"/>
    </row>
    <row r="60" spans="1:20">
      <c r="A60" s="4">
        <v>48</v>
      </c>
      <c r="B60" s="5" t="s">
        <v>120</v>
      </c>
      <c r="C60" s="13" t="s">
        <v>121</v>
      </c>
      <c r="D60" s="48">
        <v>1</v>
      </c>
      <c r="E60" s="49">
        <f t="shared" ref="E60:I60" si="52">((D60*30)/50)</f>
        <v>0.6</v>
      </c>
      <c r="F60" s="48">
        <v>1</v>
      </c>
      <c r="G60" s="49">
        <f t="shared" si="52"/>
        <v>0.6</v>
      </c>
      <c r="H60" s="48">
        <v>1</v>
      </c>
      <c r="I60" s="49">
        <f t="shared" si="52"/>
        <v>0.6</v>
      </c>
      <c r="J60" s="49">
        <f t="shared" si="1"/>
        <v>0.6</v>
      </c>
      <c r="K60" s="48">
        <v>30</v>
      </c>
      <c r="L60" s="54">
        <f t="shared" si="2"/>
        <v>10</v>
      </c>
      <c r="M60" s="48">
        <v>1</v>
      </c>
      <c r="N60" s="48"/>
      <c r="O60" s="56">
        <f t="shared" si="3"/>
        <v>11.6</v>
      </c>
      <c r="P60" s="56">
        <f t="shared" si="4"/>
        <v>6.96</v>
      </c>
      <c r="Q60" s="56">
        <f>'Lab Component'!K60</f>
        <v>18</v>
      </c>
      <c r="R60" s="56">
        <f t="shared" si="5"/>
        <v>24.96</v>
      </c>
      <c r="S60" s="56">
        <f t="shared" si="6"/>
        <v>25</v>
      </c>
      <c r="T60" s="3"/>
    </row>
    <row r="61" spans="1:20">
      <c r="A61" s="4">
        <v>49</v>
      </c>
      <c r="B61" s="5" t="s">
        <v>122</v>
      </c>
      <c r="C61" s="13" t="s">
        <v>123</v>
      </c>
      <c r="D61" s="48">
        <v>1</v>
      </c>
      <c r="E61" s="49">
        <f t="shared" ref="E61:I61" si="53">((D61*30)/50)</f>
        <v>0.6</v>
      </c>
      <c r="F61" s="48">
        <v>1</v>
      </c>
      <c r="G61" s="49">
        <f t="shared" si="53"/>
        <v>0.6</v>
      </c>
      <c r="H61" s="48">
        <v>1</v>
      </c>
      <c r="I61" s="49">
        <f t="shared" si="53"/>
        <v>0.6</v>
      </c>
      <c r="J61" s="49">
        <f t="shared" si="1"/>
        <v>0.6</v>
      </c>
      <c r="K61" s="48">
        <v>30</v>
      </c>
      <c r="L61" s="54">
        <f t="shared" si="2"/>
        <v>10</v>
      </c>
      <c r="M61" s="48">
        <v>1</v>
      </c>
      <c r="N61" s="48"/>
      <c r="O61" s="56">
        <f t="shared" si="3"/>
        <v>11.6</v>
      </c>
      <c r="P61" s="56">
        <f t="shared" si="4"/>
        <v>6.96</v>
      </c>
      <c r="Q61" s="56">
        <f>'Lab Component'!K61</f>
        <v>18</v>
      </c>
      <c r="R61" s="56">
        <f t="shared" si="5"/>
        <v>24.96</v>
      </c>
      <c r="S61" s="56">
        <f t="shared" si="6"/>
        <v>25</v>
      </c>
      <c r="T61" s="3"/>
    </row>
    <row r="62" spans="1:20">
      <c r="A62" s="4">
        <v>50</v>
      </c>
      <c r="B62" s="5" t="s">
        <v>124</v>
      </c>
      <c r="C62" s="13" t="s">
        <v>125</v>
      </c>
      <c r="D62" s="48">
        <v>1</v>
      </c>
      <c r="E62" s="49">
        <f t="shared" ref="E62:I62" si="54">((D62*30)/50)</f>
        <v>0.6</v>
      </c>
      <c r="F62" s="48">
        <v>1</v>
      </c>
      <c r="G62" s="49">
        <f t="shared" si="54"/>
        <v>0.6</v>
      </c>
      <c r="H62" s="48">
        <v>1</v>
      </c>
      <c r="I62" s="49">
        <f t="shared" si="54"/>
        <v>0.6</v>
      </c>
      <c r="J62" s="49">
        <f t="shared" si="1"/>
        <v>0.6</v>
      </c>
      <c r="K62" s="48">
        <v>30</v>
      </c>
      <c r="L62" s="54">
        <f t="shared" si="2"/>
        <v>10</v>
      </c>
      <c r="M62" s="48">
        <v>1</v>
      </c>
      <c r="N62" s="48"/>
      <c r="O62" s="56">
        <f t="shared" si="3"/>
        <v>11.6</v>
      </c>
      <c r="P62" s="56">
        <f t="shared" si="4"/>
        <v>6.96</v>
      </c>
      <c r="Q62" s="56">
        <f>'Lab Component'!K62</f>
        <v>19</v>
      </c>
      <c r="R62" s="56">
        <f t="shared" si="5"/>
        <v>25.96</v>
      </c>
      <c r="S62" s="56">
        <f t="shared" si="6"/>
        <v>26</v>
      </c>
      <c r="T62" s="3"/>
    </row>
    <row r="63" spans="1:20">
      <c r="A63" s="4">
        <v>51</v>
      </c>
      <c r="B63" s="5" t="s">
        <v>126</v>
      </c>
      <c r="C63" s="13" t="s">
        <v>127</v>
      </c>
      <c r="D63" s="48">
        <v>1</v>
      </c>
      <c r="E63" s="49">
        <f t="shared" ref="E63:I63" si="55">((D63*30)/50)</f>
        <v>0.6</v>
      </c>
      <c r="F63" s="48">
        <v>1</v>
      </c>
      <c r="G63" s="49">
        <f t="shared" si="55"/>
        <v>0.6</v>
      </c>
      <c r="H63" s="48">
        <v>1</v>
      </c>
      <c r="I63" s="49">
        <f t="shared" si="55"/>
        <v>0.6</v>
      </c>
      <c r="J63" s="49">
        <f t="shared" si="1"/>
        <v>0.6</v>
      </c>
      <c r="K63" s="48">
        <v>30</v>
      </c>
      <c r="L63" s="54">
        <f t="shared" si="2"/>
        <v>10</v>
      </c>
      <c r="M63" s="48">
        <v>1</v>
      </c>
      <c r="N63" s="48"/>
      <c r="O63" s="56">
        <f t="shared" si="3"/>
        <v>11.6</v>
      </c>
      <c r="P63" s="56">
        <f t="shared" si="4"/>
        <v>6.96</v>
      </c>
      <c r="Q63" s="56">
        <f>'Lab Component'!K63</f>
        <v>19</v>
      </c>
      <c r="R63" s="56">
        <f t="shared" si="5"/>
        <v>25.96</v>
      </c>
      <c r="S63" s="56">
        <f t="shared" si="6"/>
        <v>26</v>
      </c>
      <c r="T63" s="3"/>
    </row>
    <row r="64" spans="1:20">
      <c r="A64" s="4">
        <v>52</v>
      </c>
      <c r="B64" s="5" t="s">
        <v>128</v>
      </c>
      <c r="C64" s="13" t="s">
        <v>129</v>
      </c>
      <c r="D64" s="48">
        <v>1</v>
      </c>
      <c r="E64" s="49">
        <f t="shared" ref="E64:I64" si="56">((D64*30)/50)</f>
        <v>0.6</v>
      </c>
      <c r="F64" s="48">
        <v>1</v>
      </c>
      <c r="G64" s="49">
        <f t="shared" si="56"/>
        <v>0.6</v>
      </c>
      <c r="H64" s="48">
        <v>1</v>
      </c>
      <c r="I64" s="49">
        <f t="shared" si="56"/>
        <v>0.6</v>
      </c>
      <c r="J64" s="49">
        <f t="shared" si="1"/>
        <v>0.6</v>
      </c>
      <c r="K64" s="48">
        <v>1</v>
      </c>
      <c r="L64" s="54">
        <f t="shared" si="2"/>
        <v>0.333333333333333</v>
      </c>
      <c r="M64" s="48">
        <v>1</v>
      </c>
      <c r="N64" s="48"/>
      <c r="O64" s="56">
        <f t="shared" si="3"/>
        <v>1.93333333333333</v>
      </c>
      <c r="P64" s="56">
        <f t="shared" si="4"/>
        <v>1.16</v>
      </c>
      <c r="Q64" s="56">
        <f>'Lab Component'!K64</f>
        <v>0</v>
      </c>
      <c r="R64" s="56">
        <f t="shared" si="5"/>
        <v>1.16</v>
      </c>
      <c r="S64" s="56">
        <f t="shared" si="6"/>
        <v>2</v>
      </c>
      <c r="T64" s="3"/>
    </row>
    <row r="65" spans="1:20">
      <c r="A65" s="4">
        <v>53</v>
      </c>
      <c r="B65" s="5" t="s">
        <v>130</v>
      </c>
      <c r="C65" s="13" t="s">
        <v>131</v>
      </c>
      <c r="D65" s="48">
        <v>1</v>
      </c>
      <c r="E65" s="49">
        <f t="shared" ref="E65:I65" si="57">((D65*30)/50)</f>
        <v>0.6</v>
      </c>
      <c r="F65" s="48">
        <v>1</v>
      </c>
      <c r="G65" s="49">
        <f t="shared" si="57"/>
        <v>0.6</v>
      </c>
      <c r="H65" s="48">
        <v>1</v>
      </c>
      <c r="I65" s="49">
        <f t="shared" si="57"/>
        <v>0.6</v>
      </c>
      <c r="J65" s="49">
        <f t="shared" si="1"/>
        <v>0.6</v>
      </c>
      <c r="K65" s="48">
        <v>30</v>
      </c>
      <c r="L65" s="54">
        <f t="shared" si="2"/>
        <v>10</v>
      </c>
      <c r="M65" s="48">
        <v>1</v>
      </c>
      <c r="N65" s="48"/>
      <c r="O65" s="56">
        <f t="shared" si="3"/>
        <v>11.6</v>
      </c>
      <c r="P65" s="56">
        <f t="shared" si="4"/>
        <v>6.96</v>
      </c>
      <c r="Q65" s="56">
        <f>'Lab Component'!K65</f>
        <v>19</v>
      </c>
      <c r="R65" s="56">
        <f t="shared" si="5"/>
        <v>25.96</v>
      </c>
      <c r="S65" s="56">
        <f t="shared" si="6"/>
        <v>26</v>
      </c>
      <c r="T65" s="3"/>
    </row>
    <row r="66" ht="30" spans="1:20">
      <c r="A66" s="4">
        <v>54</v>
      </c>
      <c r="B66" s="5" t="s">
        <v>132</v>
      </c>
      <c r="C66" s="13" t="s">
        <v>133</v>
      </c>
      <c r="D66" s="48">
        <v>1</v>
      </c>
      <c r="E66" s="49">
        <f t="shared" ref="E66:I66" si="58">((D66*30)/50)</f>
        <v>0.6</v>
      </c>
      <c r="F66" s="48">
        <v>1</v>
      </c>
      <c r="G66" s="49">
        <f t="shared" si="58"/>
        <v>0.6</v>
      </c>
      <c r="H66" s="48">
        <v>1</v>
      </c>
      <c r="I66" s="49">
        <f t="shared" si="58"/>
        <v>0.6</v>
      </c>
      <c r="J66" s="49">
        <f t="shared" si="1"/>
        <v>0.6</v>
      </c>
      <c r="K66" s="48">
        <v>30</v>
      </c>
      <c r="L66" s="54">
        <f t="shared" si="2"/>
        <v>10</v>
      </c>
      <c r="M66" s="48">
        <v>1</v>
      </c>
      <c r="N66" s="48"/>
      <c r="O66" s="56">
        <f t="shared" si="3"/>
        <v>11.6</v>
      </c>
      <c r="P66" s="56">
        <f t="shared" si="4"/>
        <v>6.96</v>
      </c>
      <c r="Q66" s="56">
        <f>'Lab Component'!K66</f>
        <v>19</v>
      </c>
      <c r="R66" s="56">
        <f t="shared" si="5"/>
        <v>25.96</v>
      </c>
      <c r="S66" s="56">
        <f t="shared" si="6"/>
        <v>26</v>
      </c>
      <c r="T66" s="3"/>
    </row>
    <row r="67" spans="1:20">
      <c r="A67" s="4">
        <v>55</v>
      </c>
      <c r="B67" s="5" t="s">
        <v>134</v>
      </c>
      <c r="C67" s="13" t="s">
        <v>135</v>
      </c>
      <c r="D67" s="48">
        <v>1</v>
      </c>
      <c r="E67" s="49">
        <f t="shared" ref="E67:I67" si="59">((D67*30)/50)</f>
        <v>0.6</v>
      </c>
      <c r="F67" s="48">
        <v>1</v>
      </c>
      <c r="G67" s="49">
        <f t="shared" si="59"/>
        <v>0.6</v>
      </c>
      <c r="H67" s="48">
        <v>1</v>
      </c>
      <c r="I67" s="49">
        <f t="shared" si="59"/>
        <v>0.6</v>
      </c>
      <c r="J67" s="49">
        <f t="shared" si="1"/>
        <v>0.6</v>
      </c>
      <c r="K67" s="48">
        <v>30</v>
      </c>
      <c r="L67" s="54">
        <f t="shared" si="2"/>
        <v>10</v>
      </c>
      <c r="M67" s="48">
        <v>1</v>
      </c>
      <c r="N67" s="48"/>
      <c r="O67" s="56">
        <f t="shared" si="3"/>
        <v>11.6</v>
      </c>
      <c r="P67" s="56">
        <f t="shared" si="4"/>
        <v>6.96</v>
      </c>
      <c r="Q67" s="56">
        <f>'Lab Component'!K67</f>
        <v>20</v>
      </c>
      <c r="R67" s="56">
        <f t="shared" si="5"/>
        <v>26.96</v>
      </c>
      <c r="S67" s="56">
        <f t="shared" si="6"/>
        <v>27</v>
      </c>
      <c r="T67" s="3"/>
    </row>
    <row r="68" spans="1:20">
      <c r="A68" s="4">
        <v>56</v>
      </c>
      <c r="B68" s="5" t="s">
        <v>136</v>
      </c>
      <c r="C68" s="13" t="s">
        <v>137</v>
      </c>
      <c r="D68" s="48">
        <v>1</v>
      </c>
      <c r="E68" s="49">
        <f t="shared" ref="E68:I68" si="60">((D68*30)/50)</f>
        <v>0.6</v>
      </c>
      <c r="F68" s="48">
        <v>1</v>
      </c>
      <c r="G68" s="49">
        <f t="shared" si="60"/>
        <v>0.6</v>
      </c>
      <c r="H68" s="48">
        <v>1</v>
      </c>
      <c r="I68" s="49">
        <f t="shared" si="60"/>
        <v>0.6</v>
      </c>
      <c r="J68" s="49">
        <f t="shared" si="1"/>
        <v>0.6</v>
      </c>
      <c r="K68" s="48">
        <v>30</v>
      </c>
      <c r="L68" s="54">
        <f t="shared" si="2"/>
        <v>10</v>
      </c>
      <c r="M68" s="48">
        <v>1</v>
      </c>
      <c r="N68" s="48"/>
      <c r="O68" s="56">
        <f t="shared" si="3"/>
        <v>11.6</v>
      </c>
      <c r="P68" s="56">
        <f t="shared" si="4"/>
        <v>6.96</v>
      </c>
      <c r="Q68" s="56">
        <f>'Lab Component'!K68</f>
        <v>19</v>
      </c>
      <c r="R68" s="56">
        <f t="shared" si="5"/>
        <v>25.96</v>
      </c>
      <c r="S68" s="56">
        <f t="shared" si="6"/>
        <v>26</v>
      </c>
      <c r="T68" s="3"/>
    </row>
    <row r="69" spans="1:20">
      <c r="A69" s="4">
        <v>57</v>
      </c>
      <c r="B69" s="5" t="s">
        <v>138</v>
      </c>
      <c r="C69" s="13" t="s">
        <v>139</v>
      </c>
      <c r="D69" s="48">
        <v>1</v>
      </c>
      <c r="E69" s="49">
        <f t="shared" ref="E69:I69" si="61">((D69*30)/50)</f>
        <v>0.6</v>
      </c>
      <c r="F69" s="48">
        <v>1</v>
      </c>
      <c r="G69" s="49">
        <f t="shared" si="61"/>
        <v>0.6</v>
      </c>
      <c r="H69" s="48">
        <v>1</v>
      </c>
      <c r="I69" s="49">
        <f t="shared" si="61"/>
        <v>0.6</v>
      </c>
      <c r="J69" s="49">
        <f t="shared" si="1"/>
        <v>0.6</v>
      </c>
      <c r="K69" s="48">
        <v>30</v>
      </c>
      <c r="L69" s="54">
        <f t="shared" si="2"/>
        <v>10</v>
      </c>
      <c r="M69" s="48">
        <v>1</v>
      </c>
      <c r="N69" s="48"/>
      <c r="O69" s="56">
        <f t="shared" si="3"/>
        <v>11.6</v>
      </c>
      <c r="P69" s="56">
        <f t="shared" si="4"/>
        <v>6.96</v>
      </c>
      <c r="Q69" s="56">
        <f>'Lab Component'!K69</f>
        <v>19</v>
      </c>
      <c r="R69" s="56">
        <f t="shared" si="5"/>
        <v>25.96</v>
      </c>
      <c r="S69" s="56">
        <f t="shared" si="6"/>
        <v>26</v>
      </c>
      <c r="T69" s="3"/>
    </row>
    <row r="70" spans="1:20">
      <c r="A70" s="4">
        <v>58</v>
      </c>
      <c r="B70" s="5" t="s">
        <v>140</v>
      </c>
      <c r="C70" s="13" t="s">
        <v>141</v>
      </c>
      <c r="D70" s="48">
        <v>1</v>
      </c>
      <c r="E70" s="49">
        <f t="shared" ref="E70:I70" si="62">((D70*30)/50)</f>
        <v>0.6</v>
      </c>
      <c r="F70" s="48">
        <v>1</v>
      </c>
      <c r="G70" s="49">
        <f t="shared" si="62"/>
        <v>0.6</v>
      </c>
      <c r="H70" s="48">
        <v>1</v>
      </c>
      <c r="I70" s="49">
        <f t="shared" si="62"/>
        <v>0.6</v>
      </c>
      <c r="J70" s="49">
        <f t="shared" si="1"/>
        <v>0.6</v>
      </c>
      <c r="K70" s="48">
        <v>30</v>
      </c>
      <c r="L70" s="54">
        <f t="shared" si="2"/>
        <v>10</v>
      </c>
      <c r="M70" s="48">
        <v>1</v>
      </c>
      <c r="N70" s="48"/>
      <c r="O70" s="56">
        <f t="shared" si="3"/>
        <v>11.6</v>
      </c>
      <c r="P70" s="56">
        <f t="shared" si="4"/>
        <v>6.96</v>
      </c>
      <c r="Q70" s="56">
        <f>'Lab Component'!K70</f>
        <v>18</v>
      </c>
      <c r="R70" s="56">
        <f t="shared" si="5"/>
        <v>24.96</v>
      </c>
      <c r="S70" s="56">
        <f t="shared" si="6"/>
        <v>25</v>
      </c>
      <c r="T70" s="3"/>
    </row>
    <row r="71" spans="1:20">
      <c r="A71" s="4">
        <v>59</v>
      </c>
      <c r="B71" s="5" t="s">
        <v>142</v>
      </c>
      <c r="C71" s="13" t="s">
        <v>143</v>
      </c>
      <c r="D71" s="48">
        <v>1</v>
      </c>
      <c r="E71" s="49">
        <f t="shared" ref="E71:I71" si="63">((D71*30)/50)</f>
        <v>0.6</v>
      </c>
      <c r="F71" s="48">
        <v>1</v>
      </c>
      <c r="G71" s="49">
        <f t="shared" si="63"/>
        <v>0.6</v>
      </c>
      <c r="H71" s="48">
        <v>1</v>
      </c>
      <c r="I71" s="49">
        <f t="shared" si="63"/>
        <v>0.6</v>
      </c>
      <c r="J71" s="49">
        <f t="shared" si="1"/>
        <v>0.6</v>
      </c>
      <c r="K71" s="48">
        <v>30</v>
      </c>
      <c r="L71" s="54">
        <f t="shared" si="2"/>
        <v>10</v>
      </c>
      <c r="M71" s="48">
        <v>1</v>
      </c>
      <c r="N71" s="48"/>
      <c r="O71" s="56">
        <f t="shared" si="3"/>
        <v>11.6</v>
      </c>
      <c r="P71" s="56">
        <f t="shared" si="4"/>
        <v>6.96</v>
      </c>
      <c r="Q71" s="56">
        <f>'Lab Component'!K71</f>
        <v>19</v>
      </c>
      <c r="R71" s="56">
        <f t="shared" si="5"/>
        <v>25.96</v>
      </c>
      <c r="S71" s="56">
        <f t="shared" si="6"/>
        <v>26</v>
      </c>
      <c r="T71" s="3"/>
    </row>
    <row r="72" spans="1:20">
      <c r="A72" s="4">
        <v>60</v>
      </c>
      <c r="B72" s="5" t="s">
        <v>144</v>
      </c>
      <c r="C72" s="13" t="s">
        <v>145</v>
      </c>
      <c r="D72" s="48">
        <v>1</v>
      </c>
      <c r="E72" s="49">
        <f t="shared" ref="E72:I72" si="64">((D72*30)/50)</f>
        <v>0.6</v>
      </c>
      <c r="F72" s="48">
        <v>1</v>
      </c>
      <c r="G72" s="49">
        <f t="shared" si="64"/>
        <v>0.6</v>
      </c>
      <c r="H72" s="48">
        <v>1</v>
      </c>
      <c r="I72" s="49">
        <f t="shared" si="64"/>
        <v>0.6</v>
      </c>
      <c r="J72" s="49">
        <f t="shared" si="1"/>
        <v>0.6</v>
      </c>
      <c r="K72" s="48">
        <v>30</v>
      </c>
      <c r="L72" s="54">
        <f t="shared" si="2"/>
        <v>10</v>
      </c>
      <c r="M72" s="48">
        <v>1</v>
      </c>
      <c r="N72" s="48"/>
      <c r="O72" s="56">
        <f t="shared" si="3"/>
        <v>11.6</v>
      </c>
      <c r="P72" s="56">
        <f t="shared" si="4"/>
        <v>6.96</v>
      </c>
      <c r="Q72" s="56">
        <f>'Lab Component'!K72</f>
        <v>20</v>
      </c>
      <c r="R72" s="56">
        <f t="shared" si="5"/>
        <v>26.96</v>
      </c>
      <c r="S72" s="56">
        <f t="shared" si="6"/>
        <v>27</v>
      </c>
      <c r="T72" s="3"/>
    </row>
    <row r="73" spans="1:20">
      <c r="A73" s="4">
        <v>61</v>
      </c>
      <c r="B73" s="5" t="s">
        <v>146</v>
      </c>
      <c r="C73" s="13" t="s">
        <v>147</v>
      </c>
      <c r="D73" s="48">
        <v>1</v>
      </c>
      <c r="E73" s="49">
        <f t="shared" ref="E73:I73" si="65">((D73*30)/50)</f>
        <v>0.6</v>
      </c>
      <c r="F73" s="48">
        <v>1</v>
      </c>
      <c r="G73" s="49">
        <f t="shared" si="65"/>
        <v>0.6</v>
      </c>
      <c r="H73" s="48">
        <v>1</v>
      </c>
      <c r="I73" s="49">
        <f t="shared" si="65"/>
        <v>0.6</v>
      </c>
      <c r="J73" s="49">
        <f t="shared" si="1"/>
        <v>0.6</v>
      </c>
      <c r="K73" s="48">
        <v>30</v>
      </c>
      <c r="L73" s="54">
        <f t="shared" si="2"/>
        <v>10</v>
      </c>
      <c r="M73" s="48">
        <v>1</v>
      </c>
      <c r="N73" s="48"/>
      <c r="O73" s="56">
        <f t="shared" si="3"/>
        <v>11.6</v>
      </c>
      <c r="P73" s="56">
        <f t="shared" si="4"/>
        <v>6.96</v>
      </c>
      <c r="Q73" s="56">
        <f>'Lab Component'!K73</f>
        <v>20</v>
      </c>
      <c r="R73" s="56">
        <f t="shared" si="5"/>
        <v>26.96</v>
      </c>
      <c r="S73" s="56">
        <f t="shared" si="6"/>
        <v>27</v>
      </c>
      <c r="T73" s="3"/>
    </row>
    <row r="74" spans="1:20">
      <c r="A74" s="4">
        <v>62</v>
      </c>
      <c r="B74" s="5" t="s">
        <v>148</v>
      </c>
      <c r="C74" s="13" t="s">
        <v>149</v>
      </c>
      <c r="D74" s="48">
        <v>1</v>
      </c>
      <c r="E74" s="49">
        <f t="shared" ref="E74:I74" si="66">((D74*30)/50)</f>
        <v>0.6</v>
      </c>
      <c r="F74" s="48">
        <v>1</v>
      </c>
      <c r="G74" s="49">
        <f t="shared" si="66"/>
        <v>0.6</v>
      </c>
      <c r="H74" s="48">
        <v>1</v>
      </c>
      <c r="I74" s="49">
        <f t="shared" si="66"/>
        <v>0.6</v>
      </c>
      <c r="J74" s="49">
        <f t="shared" si="1"/>
        <v>0.6</v>
      </c>
      <c r="K74" s="48">
        <v>30</v>
      </c>
      <c r="L74" s="54">
        <f t="shared" si="2"/>
        <v>10</v>
      </c>
      <c r="M74" s="48">
        <v>1</v>
      </c>
      <c r="N74" s="48"/>
      <c r="O74" s="56">
        <f t="shared" si="3"/>
        <v>11.6</v>
      </c>
      <c r="P74" s="56">
        <f t="shared" si="4"/>
        <v>6.96</v>
      </c>
      <c r="Q74" s="56">
        <f>'Lab Component'!K74</f>
        <v>19</v>
      </c>
      <c r="R74" s="56">
        <f t="shared" si="5"/>
        <v>25.96</v>
      </c>
      <c r="S74" s="56">
        <f t="shared" si="6"/>
        <v>26</v>
      </c>
      <c r="T74" s="3"/>
    </row>
    <row r="75" spans="1:20">
      <c r="A75" s="4">
        <v>63</v>
      </c>
      <c r="B75" s="5" t="s">
        <v>150</v>
      </c>
      <c r="C75" s="13" t="s">
        <v>151</v>
      </c>
      <c r="D75" s="48">
        <v>1</v>
      </c>
      <c r="E75" s="49">
        <f t="shared" ref="E75:I75" si="67">((D75*30)/50)</f>
        <v>0.6</v>
      </c>
      <c r="F75" s="48">
        <v>1</v>
      </c>
      <c r="G75" s="49">
        <f t="shared" si="67"/>
        <v>0.6</v>
      </c>
      <c r="H75" s="48">
        <v>1</v>
      </c>
      <c r="I75" s="49">
        <f t="shared" si="67"/>
        <v>0.6</v>
      </c>
      <c r="J75" s="49">
        <f t="shared" si="1"/>
        <v>0.6</v>
      </c>
      <c r="K75" s="48">
        <v>30</v>
      </c>
      <c r="L75" s="54">
        <f t="shared" si="2"/>
        <v>10</v>
      </c>
      <c r="M75" s="48">
        <v>1</v>
      </c>
      <c r="N75" s="48"/>
      <c r="O75" s="56">
        <f t="shared" si="3"/>
        <v>11.6</v>
      </c>
      <c r="P75" s="56">
        <f t="shared" si="4"/>
        <v>6.96</v>
      </c>
      <c r="Q75" s="56">
        <f>'Lab Component'!K75</f>
        <v>20</v>
      </c>
      <c r="R75" s="56">
        <f t="shared" si="5"/>
        <v>26.96</v>
      </c>
      <c r="S75" s="56">
        <f t="shared" si="6"/>
        <v>27</v>
      </c>
      <c r="T75" s="3"/>
    </row>
    <row r="76" spans="1:20">
      <c r="A76" s="4">
        <v>64</v>
      </c>
      <c r="B76" s="5" t="s">
        <v>152</v>
      </c>
      <c r="C76" s="13" t="s">
        <v>153</v>
      </c>
      <c r="D76" s="48">
        <v>1</v>
      </c>
      <c r="E76" s="49">
        <f t="shared" ref="E76:I76" si="68">((D76*30)/50)</f>
        <v>0.6</v>
      </c>
      <c r="F76" s="48">
        <v>1</v>
      </c>
      <c r="G76" s="49">
        <f t="shared" si="68"/>
        <v>0.6</v>
      </c>
      <c r="H76" s="48">
        <v>1</v>
      </c>
      <c r="I76" s="49">
        <f t="shared" si="68"/>
        <v>0.6</v>
      </c>
      <c r="J76" s="49">
        <f t="shared" si="1"/>
        <v>0.6</v>
      </c>
      <c r="K76" s="48">
        <v>30</v>
      </c>
      <c r="L76" s="54">
        <f t="shared" si="2"/>
        <v>10</v>
      </c>
      <c r="M76" s="48">
        <v>1</v>
      </c>
      <c r="N76" s="48"/>
      <c r="O76" s="56">
        <f t="shared" si="3"/>
        <v>11.6</v>
      </c>
      <c r="P76" s="56">
        <f t="shared" si="4"/>
        <v>6.96</v>
      </c>
      <c r="Q76" s="56">
        <f>'Lab Component'!K76</f>
        <v>19</v>
      </c>
      <c r="R76" s="56">
        <f t="shared" si="5"/>
        <v>25.96</v>
      </c>
      <c r="S76" s="56">
        <f t="shared" si="6"/>
        <v>26</v>
      </c>
      <c r="T76" s="3"/>
    </row>
    <row r="77" spans="1:20">
      <c r="A77" s="4">
        <v>65</v>
      </c>
      <c r="B77" s="5" t="s">
        <v>154</v>
      </c>
      <c r="C77" s="13" t="s">
        <v>155</v>
      </c>
      <c r="D77" s="48">
        <v>43</v>
      </c>
      <c r="E77" s="49">
        <f t="shared" ref="E77:I77" si="69">((D77*30)/50)</f>
        <v>25.8</v>
      </c>
      <c r="F77" s="48">
        <v>44</v>
      </c>
      <c r="G77" s="49">
        <f t="shared" si="69"/>
        <v>26.4</v>
      </c>
      <c r="H77" s="48">
        <v>46</v>
      </c>
      <c r="I77" s="49">
        <f t="shared" si="69"/>
        <v>27.6</v>
      </c>
      <c r="J77" s="49">
        <f t="shared" ref="J77:J140" si="70">((E77+G77+I77)/3)</f>
        <v>26.6</v>
      </c>
      <c r="K77" s="48">
        <v>30</v>
      </c>
      <c r="L77" s="54">
        <f t="shared" ref="L77:L140" si="71">((K77*10)/30)</f>
        <v>10</v>
      </c>
      <c r="M77" s="48">
        <v>10</v>
      </c>
      <c r="N77" s="48"/>
      <c r="O77" s="56">
        <f t="shared" ref="O77:O140" si="72">SUM(J77,L77,M77)</f>
        <v>46.6</v>
      </c>
      <c r="P77" s="56">
        <f t="shared" ref="P77:P140" si="73">(O77/50)*30</f>
        <v>27.96</v>
      </c>
      <c r="Q77" s="56">
        <f>'Lab Component'!K77</f>
        <v>20</v>
      </c>
      <c r="R77" s="56">
        <f t="shared" ref="R77:R140" si="74">(P77+Q77)</f>
        <v>47.96</v>
      </c>
      <c r="S77" s="56">
        <f t="shared" ref="S77:S140" si="75">ROUNDUP(R77,0)</f>
        <v>48</v>
      </c>
      <c r="T77" s="3">
        <v>39</v>
      </c>
    </row>
    <row r="78" spans="1:20">
      <c r="A78" s="4">
        <v>66</v>
      </c>
      <c r="B78" s="5" t="s">
        <v>156</v>
      </c>
      <c r="C78" s="13" t="s">
        <v>157</v>
      </c>
      <c r="D78" s="48">
        <v>48</v>
      </c>
      <c r="E78" s="49">
        <f t="shared" ref="E78:I78" si="76">((D78*30)/50)</f>
        <v>28.8</v>
      </c>
      <c r="F78" s="48">
        <v>50</v>
      </c>
      <c r="G78" s="49">
        <f t="shared" si="76"/>
        <v>30</v>
      </c>
      <c r="H78" s="48">
        <v>49</v>
      </c>
      <c r="I78" s="49">
        <f t="shared" si="76"/>
        <v>29.4</v>
      </c>
      <c r="J78" s="49">
        <f t="shared" si="70"/>
        <v>29.4</v>
      </c>
      <c r="K78" s="48">
        <v>30</v>
      </c>
      <c r="L78" s="54">
        <f t="shared" si="71"/>
        <v>10</v>
      </c>
      <c r="M78" s="48">
        <v>10</v>
      </c>
      <c r="N78" s="48"/>
      <c r="O78" s="56">
        <f t="shared" si="72"/>
        <v>49.4</v>
      </c>
      <c r="P78" s="56">
        <f t="shared" si="73"/>
        <v>29.64</v>
      </c>
      <c r="Q78" s="56">
        <f>'Lab Component'!K78</f>
        <v>20</v>
      </c>
      <c r="R78" s="56">
        <f t="shared" si="74"/>
        <v>49.64</v>
      </c>
      <c r="S78" s="56">
        <f t="shared" si="75"/>
        <v>50</v>
      </c>
      <c r="T78" s="3">
        <v>39</v>
      </c>
    </row>
    <row r="79" spans="1:20">
      <c r="A79" s="4">
        <v>67</v>
      </c>
      <c r="B79" s="5" t="s">
        <v>158</v>
      </c>
      <c r="C79" s="13" t="s">
        <v>159</v>
      </c>
      <c r="D79" s="48">
        <v>49</v>
      </c>
      <c r="E79" s="49">
        <f t="shared" ref="E79:I79" si="77">((D79*30)/50)</f>
        <v>29.4</v>
      </c>
      <c r="F79" s="48">
        <v>50</v>
      </c>
      <c r="G79" s="49">
        <f t="shared" si="77"/>
        <v>30</v>
      </c>
      <c r="H79" s="48">
        <v>48</v>
      </c>
      <c r="I79" s="49">
        <f t="shared" si="77"/>
        <v>28.8</v>
      </c>
      <c r="J79" s="49">
        <f t="shared" si="70"/>
        <v>29.4</v>
      </c>
      <c r="K79" s="48">
        <v>30</v>
      </c>
      <c r="L79" s="54">
        <f t="shared" si="71"/>
        <v>10</v>
      </c>
      <c r="M79" s="48">
        <v>8.5</v>
      </c>
      <c r="N79" s="48"/>
      <c r="O79" s="56">
        <f t="shared" si="72"/>
        <v>47.9</v>
      </c>
      <c r="P79" s="56">
        <f t="shared" si="73"/>
        <v>28.74</v>
      </c>
      <c r="Q79" s="56">
        <f>'Lab Component'!K79</f>
        <v>20</v>
      </c>
      <c r="R79" s="56">
        <f t="shared" si="74"/>
        <v>48.74</v>
      </c>
      <c r="S79" s="56">
        <f t="shared" si="75"/>
        <v>49</v>
      </c>
      <c r="T79" s="3">
        <v>39</v>
      </c>
    </row>
    <row r="80" spans="1:20">
      <c r="A80" s="4">
        <v>68</v>
      </c>
      <c r="B80" s="5" t="s">
        <v>160</v>
      </c>
      <c r="C80" s="13" t="s">
        <v>161</v>
      </c>
      <c r="D80" s="48">
        <v>50</v>
      </c>
      <c r="E80" s="49">
        <f t="shared" ref="E80:I80" si="78">((D80*30)/50)</f>
        <v>30</v>
      </c>
      <c r="F80" s="48">
        <v>47</v>
      </c>
      <c r="G80" s="49">
        <f t="shared" si="78"/>
        <v>28.2</v>
      </c>
      <c r="H80" s="48">
        <v>47</v>
      </c>
      <c r="I80" s="49">
        <f t="shared" si="78"/>
        <v>28.2</v>
      </c>
      <c r="J80" s="49">
        <f t="shared" si="70"/>
        <v>28.8</v>
      </c>
      <c r="K80" s="48">
        <v>30</v>
      </c>
      <c r="L80" s="54">
        <f t="shared" si="71"/>
        <v>10</v>
      </c>
      <c r="M80" s="48">
        <v>10</v>
      </c>
      <c r="N80" s="48"/>
      <c r="O80" s="56">
        <f t="shared" si="72"/>
        <v>48.8</v>
      </c>
      <c r="P80" s="56">
        <f t="shared" si="73"/>
        <v>29.28</v>
      </c>
      <c r="Q80" s="56">
        <f>'Lab Component'!K80</f>
        <v>19</v>
      </c>
      <c r="R80" s="56">
        <f t="shared" si="74"/>
        <v>48.28</v>
      </c>
      <c r="S80" s="56">
        <f t="shared" si="75"/>
        <v>49</v>
      </c>
      <c r="T80" s="3">
        <v>37</v>
      </c>
    </row>
    <row r="81" spans="1:20">
      <c r="A81" s="4">
        <v>69</v>
      </c>
      <c r="B81" s="5" t="s">
        <v>162</v>
      </c>
      <c r="C81" s="13" t="s">
        <v>163</v>
      </c>
      <c r="D81" s="48">
        <v>42</v>
      </c>
      <c r="E81" s="49">
        <f t="shared" ref="E81:I81" si="79">((D81*30)/50)</f>
        <v>25.2</v>
      </c>
      <c r="F81" s="48">
        <v>50</v>
      </c>
      <c r="G81" s="49">
        <f t="shared" si="79"/>
        <v>30</v>
      </c>
      <c r="H81" s="48">
        <v>44</v>
      </c>
      <c r="I81" s="49">
        <f t="shared" si="79"/>
        <v>26.4</v>
      </c>
      <c r="J81" s="49">
        <f t="shared" si="70"/>
        <v>27.2</v>
      </c>
      <c r="K81" s="48">
        <v>30</v>
      </c>
      <c r="L81" s="54">
        <f t="shared" si="71"/>
        <v>10</v>
      </c>
      <c r="M81" s="48">
        <v>9.5</v>
      </c>
      <c r="N81" s="48"/>
      <c r="O81" s="56">
        <f t="shared" si="72"/>
        <v>46.7</v>
      </c>
      <c r="P81" s="56">
        <f t="shared" si="73"/>
        <v>28.02</v>
      </c>
      <c r="Q81" s="56">
        <f>'Lab Component'!K81</f>
        <v>19</v>
      </c>
      <c r="R81" s="56">
        <f t="shared" si="74"/>
        <v>47.02</v>
      </c>
      <c r="S81" s="56">
        <f t="shared" si="75"/>
        <v>48</v>
      </c>
      <c r="T81" s="3">
        <v>37</v>
      </c>
    </row>
    <row r="82" spans="1:20">
      <c r="A82" s="4">
        <v>70</v>
      </c>
      <c r="B82" s="5" t="s">
        <v>164</v>
      </c>
      <c r="C82" s="13" t="s">
        <v>165</v>
      </c>
      <c r="D82" s="48">
        <v>46</v>
      </c>
      <c r="E82" s="49">
        <f t="shared" ref="E82:I82" si="80">((D82*30)/50)</f>
        <v>27.6</v>
      </c>
      <c r="F82" s="48">
        <v>50</v>
      </c>
      <c r="G82" s="49">
        <f t="shared" si="80"/>
        <v>30</v>
      </c>
      <c r="H82" s="48">
        <v>50</v>
      </c>
      <c r="I82" s="49">
        <f t="shared" si="80"/>
        <v>30</v>
      </c>
      <c r="J82" s="49">
        <f t="shared" si="70"/>
        <v>29.2</v>
      </c>
      <c r="K82" s="48">
        <v>30</v>
      </c>
      <c r="L82" s="54">
        <f t="shared" si="71"/>
        <v>10</v>
      </c>
      <c r="M82" s="48">
        <v>10</v>
      </c>
      <c r="N82" s="48"/>
      <c r="O82" s="56">
        <f t="shared" si="72"/>
        <v>49.2</v>
      </c>
      <c r="P82" s="56">
        <f t="shared" si="73"/>
        <v>29.52</v>
      </c>
      <c r="Q82" s="56">
        <f>'Lab Component'!K82</f>
        <v>12</v>
      </c>
      <c r="R82" s="56">
        <f t="shared" si="74"/>
        <v>41.52</v>
      </c>
      <c r="S82" s="56">
        <f t="shared" si="75"/>
        <v>42</v>
      </c>
      <c r="T82" s="3">
        <v>37</v>
      </c>
    </row>
    <row r="83" spans="1:20">
      <c r="A83" s="4">
        <v>71</v>
      </c>
      <c r="B83" s="5" t="s">
        <v>166</v>
      </c>
      <c r="C83" s="13" t="s">
        <v>167</v>
      </c>
      <c r="D83" s="48">
        <v>40</v>
      </c>
      <c r="E83" s="49">
        <f t="shared" ref="E83:I83" si="81">((D83*30)/50)</f>
        <v>24</v>
      </c>
      <c r="F83" s="48">
        <v>27</v>
      </c>
      <c r="G83" s="49">
        <f t="shared" si="81"/>
        <v>16.2</v>
      </c>
      <c r="H83" s="48">
        <v>43</v>
      </c>
      <c r="I83" s="49">
        <f t="shared" si="81"/>
        <v>25.8</v>
      </c>
      <c r="J83" s="49">
        <f t="shared" si="70"/>
        <v>22</v>
      </c>
      <c r="K83" s="48">
        <v>30</v>
      </c>
      <c r="L83" s="54">
        <f t="shared" si="71"/>
        <v>10</v>
      </c>
      <c r="M83" s="48">
        <v>10</v>
      </c>
      <c r="N83" s="48"/>
      <c r="O83" s="56">
        <f t="shared" si="72"/>
        <v>42</v>
      </c>
      <c r="P83" s="56">
        <f t="shared" si="73"/>
        <v>25.2</v>
      </c>
      <c r="Q83" s="56">
        <f>'Lab Component'!K83</f>
        <v>19</v>
      </c>
      <c r="R83" s="56">
        <f t="shared" si="74"/>
        <v>44.2</v>
      </c>
      <c r="S83" s="56">
        <f t="shared" si="75"/>
        <v>45</v>
      </c>
      <c r="T83" s="3">
        <v>38</v>
      </c>
    </row>
    <row r="84" spans="1:20">
      <c r="A84" s="4">
        <v>72</v>
      </c>
      <c r="B84" s="5" t="s">
        <v>168</v>
      </c>
      <c r="C84" s="13" t="s">
        <v>169</v>
      </c>
      <c r="D84" s="34">
        <v>25</v>
      </c>
      <c r="E84" s="49">
        <f t="shared" ref="E84:I84" si="82">((D84*30)/50)</f>
        <v>15</v>
      </c>
      <c r="F84" s="34">
        <v>21</v>
      </c>
      <c r="G84" s="49">
        <f t="shared" si="82"/>
        <v>12.6</v>
      </c>
      <c r="H84" s="34">
        <v>45</v>
      </c>
      <c r="I84" s="49">
        <f t="shared" si="82"/>
        <v>27</v>
      </c>
      <c r="J84" s="49">
        <f t="shared" si="70"/>
        <v>18.2</v>
      </c>
      <c r="K84" s="34">
        <v>30</v>
      </c>
      <c r="L84" s="54">
        <f t="shared" si="71"/>
        <v>10</v>
      </c>
      <c r="M84" s="34">
        <v>9</v>
      </c>
      <c r="N84" s="34"/>
      <c r="O84" s="34">
        <f t="shared" si="72"/>
        <v>37.2</v>
      </c>
      <c r="P84" s="56">
        <f t="shared" si="73"/>
        <v>22.32</v>
      </c>
      <c r="Q84" s="56">
        <f>'Lab Component'!K84</f>
        <v>17</v>
      </c>
      <c r="R84" s="56">
        <f t="shared" si="74"/>
        <v>39.32</v>
      </c>
      <c r="S84" s="56">
        <f t="shared" si="75"/>
        <v>40</v>
      </c>
      <c r="T84" s="3">
        <v>36</v>
      </c>
    </row>
    <row r="85" spans="1:20">
      <c r="A85" s="4">
        <v>73</v>
      </c>
      <c r="B85" s="5" t="s">
        <v>170</v>
      </c>
      <c r="C85" s="13" t="s">
        <v>171</v>
      </c>
      <c r="D85" s="34">
        <v>47</v>
      </c>
      <c r="E85" s="49">
        <f t="shared" ref="E85:I85" si="83">((D85*30)/50)</f>
        <v>28.2</v>
      </c>
      <c r="F85" s="34">
        <v>50</v>
      </c>
      <c r="G85" s="49">
        <f t="shared" si="83"/>
        <v>30</v>
      </c>
      <c r="H85" s="34">
        <v>50</v>
      </c>
      <c r="I85" s="49">
        <f t="shared" si="83"/>
        <v>30</v>
      </c>
      <c r="J85" s="49">
        <f t="shared" si="70"/>
        <v>29.4</v>
      </c>
      <c r="K85" s="34">
        <v>30</v>
      </c>
      <c r="L85" s="54">
        <f t="shared" si="71"/>
        <v>10</v>
      </c>
      <c r="M85" s="34">
        <v>10</v>
      </c>
      <c r="N85" s="34"/>
      <c r="O85" s="34">
        <f t="shared" si="72"/>
        <v>49.4</v>
      </c>
      <c r="P85" s="56">
        <f t="shared" si="73"/>
        <v>29.64</v>
      </c>
      <c r="Q85" s="56">
        <f>'Lab Component'!K85</f>
        <v>12</v>
      </c>
      <c r="R85" s="56">
        <f t="shared" si="74"/>
        <v>41.64</v>
      </c>
      <c r="S85" s="56">
        <f t="shared" si="75"/>
        <v>42</v>
      </c>
      <c r="T85" s="3">
        <v>40</v>
      </c>
    </row>
    <row r="86" spans="1:20">
      <c r="A86" s="4">
        <v>74</v>
      </c>
      <c r="B86" s="5" t="s">
        <v>172</v>
      </c>
      <c r="C86" s="13" t="s">
        <v>173</v>
      </c>
      <c r="D86" s="34">
        <v>26</v>
      </c>
      <c r="E86" s="49">
        <f t="shared" ref="E86:I86" si="84">((D86*30)/50)</f>
        <v>15.6</v>
      </c>
      <c r="F86" s="34">
        <v>21</v>
      </c>
      <c r="G86" s="49">
        <f t="shared" si="84"/>
        <v>12.6</v>
      </c>
      <c r="H86" s="34">
        <v>45</v>
      </c>
      <c r="I86" s="49">
        <f t="shared" si="84"/>
        <v>27</v>
      </c>
      <c r="J86" s="49">
        <f t="shared" si="70"/>
        <v>18.4</v>
      </c>
      <c r="K86" s="34">
        <v>30</v>
      </c>
      <c r="L86" s="54">
        <f t="shared" si="71"/>
        <v>10</v>
      </c>
      <c r="M86" s="34">
        <v>9.5</v>
      </c>
      <c r="N86" s="34"/>
      <c r="O86" s="56">
        <f t="shared" si="72"/>
        <v>37.9</v>
      </c>
      <c r="P86" s="56">
        <f t="shared" si="73"/>
        <v>22.74</v>
      </c>
      <c r="Q86" s="56">
        <f>'Lab Component'!K86</f>
        <v>18</v>
      </c>
      <c r="R86" s="56">
        <f t="shared" si="74"/>
        <v>40.74</v>
      </c>
      <c r="S86" s="56">
        <f t="shared" si="75"/>
        <v>41</v>
      </c>
      <c r="T86" s="3">
        <v>36</v>
      </c>
    </row>
    <row r="87" spans="1:20">
      <c r="A87" s="4">
        <v>75</v>
      </c>
      <c r="B87" s="5" t="s">
        <v>174</v>
      </c>
      <c r="C87" s="13" t="s">
        <v>175</v>
      </c>
      <c r="D87" s="34">
        <v>34</v>
      </c>
      <c r="E87" s="49">
        <f t="shared" ref="E87:I87" si="85">((D87*30)/50)</f>
        <v>20.4</v>
      </c>
      <c r="F87" s="34">
        <v>12</v>
      </c>
      <c r="G87" s="49">
        <f t="shared" si="85"/>
        <v>7.2</v>
      </c>
      <c r="H87" s="34">
        <v>49</v>
      </c>
      <c r="I87" s="49">
        <f t="shared" si="85"/>
        <v>29.4</v>
      </c>
      <c r="J87" s="49">
        <f t="shared" si="70"/>
        <v>19</v>
      </c>
      <c r="K87" s="34">
        <v>30</v>
      </c>
      <c r="L87" s="54">
        <f t="shared" si="71"/>
        <v>10</v>
      </c>
      <c r="M87" s="34">
        <v>10</v>
      </c>
      <c r="N87" s="34"/>
      <c r="O87" s="56">
        <f t="shared" si="72"/>
        <v>39</v>
      </c>
      <c r="P87" s="56">
        <f t="shared" si="73"/>
        <v>23.4</v>
      </c>
      <c r="Q87" s="56">
        <f>'Lab Component'!K87</f>
        <v>18</v>
      </c>
      <c r="R87" s="56">
        <f t="shared" si="74"/>
        <v>41.4</v>
      </c>
      <c r="S87" s="56">
        <f t="shared" si="75"/>
        <v>42</v>
      </c>
      <c r="T87" s="3">
        <v>36</v>
      </c>
    </row>
    <row r="88" spans="1:20">
      <c r="A88" s="4">
        <v>76</v>
      </c>
      <c r="B88" s="5" t="s">
        <v>176</v>
      </c>
      <c r="C88" s="13" t="s">
        <v>177</v>
      </c>
      <c r="D88" s="34">
        <v>48</v>
      </c>
      <c r="E88" s="49">
        <f t="shared" ref="E88:I88" si="86">((D88*30)/50)</f>
        <v>28.8</v>
      </c>
      <c r="F88" s="34">
        <v>50</v>
      </c>
      <c r="G88" s="49">
        <f t="shared" si="86"/>
        <v>30</v>
      </c>
      <c r="H88" s="34">
        <v>50</v>
      </c>
      <c r="I88" s="49">
        <f t="shared" si="86"/>
        <v>30</v>
      </c>
      <c r="J88" s="49">
        <f t="shared" si="70"/>
        <v>29.6</v>
      </c>
      <c r="K88" s="34">
        <v>30</v>
      </c>
      <c r="L88" s="54">
        <f t="shared" si="71"/>
        <v>10</v>
      </c>
      <c r="M88" s="34">
        <v>8.5</v>
      </c>
      <c r="N88" s="34"/>
      <c r="O88" s="56">
        <f t="shared" si="72"/>
        <v>48.1</v>
      </c>
      <c r="P88" s="56">
        <f t="shared" si="73"/>
        <v>28.86</v>
      </c>
      <c r="Q88" s="56">
        <f>'Lab Component'!K88</f>
        <v>11</v>
      </c>
      <c r="R88" s="56">
        <f t="shared" si="74"/>
        <v>39.86</v>
      </c>
      <c r="S88" s="56">
        <f t="shared" si="75"/>
        <v>40</v>
      </c>
      <c r="T88" s="3">
        <v>37</v>
      </c>
    </row>
    <row r="89" spans="1:20">
      <c r="A89" s="4">
        <v>77</v>
      </c>
      <c r="B89" s="5" t="s">
        <v>178</v>
      </c>
      <c r="C89" s="13" t="s">
        <v>179</v>
      </c>
      <c r="D89" s="34">
        <v>48</v>
      </c>
      <c r="E89" s="49">
        <f t="shared" ref="E89:I89" si="87">((D89*30)/50)</f>
        <v>28.8</v>
      </c>
      <c r="F89" s="34">
        <v>50</v>
      </c>
      <c r="G89" s="49">
        <f t="shared" si="87"/>
        <v>30</v>
      </c>
      <c r="H89" s="34">
        <v>50</v>
      </c>
      <c r="I89" s="49">
        <f t="shared" si="87"/>
        <v>30</v>
      </c>
      <c r="J89" s="49">
        <f t="shared" si="70"/>
        <v>29.6</v>
      </c>
      <c r="K89" s="34">
        <v>30</v>
      </c>
      <c r="L89" s="54">
        <f t="shared" si="71"/>
        <v>10</v>
      </c>
      <c r="M89" s="34">
        <v>9.5</v>
      </c>
      <c r="N89" s="34"/>
      <c r="O89" s="56">
        <f t="shared" si="72"/>
        <v>49.1</v>
      </c>
      <c r="P89" s="56">
        <f t="shared" si="73"/>
        <v>29.46</v>
      </c>
      <c r="Q89" s="56">
        <f>'Lab Component'!K89</f>
        <v>12</v>
      </c>
      <c r="R89" s="56">
        <f t="shared" si="74"/>
        <v>41.46</v>
      </c>
      <c r="S89" s="56">
        <f t="shared" si="75"/>
        <v>42</v>
      </c>
      <c r="T89" s="3">
        <v>39</v>
      </c>
    </row>
    <row r="90" spans="1:20">
      <c r="A90" s="4">
        <v>78</v>
      </c>
      <c r="B90" s="5" t="s">
        <v>180</v>
      </c>
      <c r="C90" s="13" t="s">
        <v>181</v>
      </c>
      <c r="D90" s="34">
        <v>45</v>
      </c>
      <c r="E90" s="49">
        <f t="shared" ref="E90:I90" si="88">((D90*30)/50)</f>
        <v>27</v>
      </c>
      <c r="F90" s="34">
        <v>50</v>
      </c>
      <c r="G90" s="49">
        <f t="shared" si="88"/>
        <v>30</v>
      </c>
      <c r="H90" s="34">
        <v>48</v>
      </c>
      <c r="I90" s="49">
        <f t="shared" si="88"/>
        <v>28.8</v>
      </c>
      <c r="J90" s="49">
        <f t="shared" si="70"/>
        <v>28.6</v>
      </c>
      <c r="K90" s="34">
        <v>30</v>
      </c>
      <c r="L90" s="54">
        <f t="shared" si="71"/>
        <v>10</v>
      </c>
      <c r="M90" s="34">
        <v>9</v>
      </c>
      <c r="N90" s="34"/>
      <c r="O90" s="56">
        <f t="shared" si="72"/>
        <v>47.6</v>
      </c>
      <c r="P90" s="56">
        <f t="shared" si="73"/>
        <v>28.56</v>
      </c>
      <c r="Q90" s="56">
        <f>'Lab Component'!K90</f>
        <v>19</v>
      </c>
      <c r="R90" s="56">
        <f t="shared" si="74"/>
        <v>47.56</v>
      </c>
      <c r="S90" s="56">
        <f t="shared" si="75"/>
        <v>48</v>
      </c>
      <c r="T90" s="3">
        <v>38</v>
      </c>
    </row>
    <row r="91" spans="1:20">
      <c r="A91" s="4">
        <v>79</v>
      </c>
      <c r="B91" s="5" t="s">
        <v>182</v>
      </c>
      <c r="C91" s="13" t="s">
        <v>183</v>
      </c>
      <c r="D91" s="34">
        <v>44</v>
      </c>
      <c r="E91" s="49">
        <f t="shared" ref="E91:I91" si="89">((D91*30)/50)</f>
        <v>26.4</v>
      </c>
      <c r="F91" s="34">
        <v>50</v>
      </c>
      <c r="G91" s="49">
        <f t="shared" si="89"/>
        <v>30</v>
      </c>
      <c r="H91" s="34">
        <v>47</v>
      </c>
      <c r="I91" s="49">
        <f t="shared" si="89"/>
        <v>28.2</v>
      </c>
      <c r="J91" s="49">
        <f t="shared" si="70"/>
        <v>28.2</v>
      </c>
      <c r="K91" s="34">
        <v>30</v>
      </c>
      <c r="L91" s="54">
        <f t="shared" si="71"/>
        <v>10</v>
      </c>
      <c r="M91" s="34">
        <v>10</v>
      </c>
      <c r="N91" s="34"/>
      <c r="O91" s="56">
        <f t="shared" si="72"/>
        <v>48.2</v>
      </c>
      <c r="P91" s="56">
        <f t="shared" si="73"/>
        <v>28.92</v>
      </c>
      <c r="Q91" s="56">
        <f>'Lab Component'!K91</f>
        <v>18</v>
      </c>
      <c r="R91" s="56">
        <f t="shared" si="74"/>
        <v>46.92</v>
      </c>
      <c r="S91" s="56">
        <f t="shared" si="75"/>
        <v>47</v>
      </c>
      <c r="T91" s="3">
        <v>38</v>
      </c>
    </row>
    <row r="92" spans="1:20">
      <c r="A92" s="4">
        <v>80</v>
      </c>
      <c r="B92" s="5" t="s">
        <v>184</v>
      </c>
      <c r="C92" s="13" t="s">
        <v>185</v>
      </c>
      <c r="D92" s="34">
        <v>42</v>
      </c>
      <c r="E92" s="49">
        <f t="shared" ref="E92:I92" si="90">((D92*30)/50)</f>
        <v>25.2</v>
      </c>
      <c r="F92" s="34">
        <v>50</v>
      </c>
      <c r="G92" s="49">
        <f t="shared" si="90"/>
        <v>30</v>
      </c>
      <c r="H92" s="34">
        <v>50</v>
      </c>
      <c r="I92" s="49">
        <f t="shared" si="90"/>
        <v>30</v>
      </c>
      <c r="J92" s="49">
        <f t="shared" si="70"/>
        <v>28.4</v>
      </c>
      <c r="K92" s="34">
        <v>30</v>
      </c>
      <c r="L92" s="54">
        <f t="shared" si="71"/>
        <v>10</v>
      </c>
      <c r="M92" s="34">
        <v>9.5</v>
      </c>
      <c r="N92" s="34"/>
      <c r="O92" s="56">
        <f t="shared" si="72"/>
        <v>47.9</v>
      </c>
      <c r="P92" s="56">
        <f t="shared" si="73"/>
        <v>28.74</v>
      </c>
      <c r="Q92" s="56">
        <f>'Lab Component'!K92</f>
        <v>19</v>
      </c>
      <c r="R92" s="56">
        <f t="shared" si="74"/>
        <v>47.74</v>
      </c>
      <c r="S92" s="56">
        <f t="shared" si="75"/>
        <v>48</v>
      </c>
      <c r="T92" s="3">
        <v>38</v>
      </c>
    </row>
    <row r="93" spans="1:20">
      <c r="A93" s="4">
        <v>81</v>
      </c>
      <c r="B93" s="5" t="s">
        <v>186</v>
      </c>
      <c r="C93" s="13" t="s">
        <v>187</v>
      </c>
      <c r="D93" s="34">
        <v>18</v>
      </c>
      <c r="E93" s="49">
        <f t="shared" ref="E93:I93" si="91">((D93*30)/50)</f>
        <v>10.8</v>
      </c>
      <c r="F93" s="34">
        <v>21</v>
      </c>
      <c r="G93" s="49">
        <f t="shared" si="91"/>
        <v>12.6</v>
      </c>
      <c r="H93" s="34">
        <v>21</v>
      </c>
      <c r="I93" s="49">
        <f t="shared" si="91"/>
        <v>12.6</v>
      </c>
      <c r="J93" s="49">
        <f t="shared" si="70"/>
        <v>12</v>
      </c>
      <c r="K93" s="34">
        <v>27</v>
      </c>
      <c r="L93" s="54">
        <f t="shared" si="71"/>
        <v>9</v>
      </c>
      <c r="M93" s="34">
        <v>10</v>
      </c>
      <c r="N93" s="34"/>
      <c r="O93" s="34">
        <f t="shared" si="72"/>
        <v>31</v>
      </c>
      <c r="P93" s="56">
        <f t="shared" si="73"/>
        <v>18.6</v>
      </c>
      <c r="Q93" s="56">
        <f>'Lab Component'!K93</f>
        <v>11</v>
      </c>
      <c r="R93" s="56">
        <f t="shared" si="74"/>
        <v>29.6</v>
      </c>
      <c r="S93" s="56">
        <f t="shared" si="75"/>
        <v>30</v>
      </c>
      <c r="T93" s="3">
        <v>40</v>
      </c>
    </row>
    <row r="94" spans="1:20">
      <c r="A94" s="4">
        <v>82</v>
      </c>
      <c r="B94" s="5" t="s">
        <v>188</v>
      </c>
      <c r="C94" s="13" t="s">
        <v>189</v>
      </c>
      <c r="D94" s="34">
        <v>47</v>
      </c>
      <c r="E94" s="49">
        <f t="shared" ref="E94:I94" si="92">((D94*30)/50)</f>
        <v>28.2</v>
      </c>
      <c r="F94" s="34">
        <v>50</v>
      </c>
      <c r="G94" s="49">
        <f t="shared" si="92"/>
        <v>30</v>
      </c>
      <c r="H94" s="34">
        <v>50</v>
      </c>
      <c r="I94" s="49">
        <f t="shared" si="92"/>
        <v>30</v>
      </c>
      <c r="J94" s="49">
        <f t="shared" si="70"/>
        <v>29.4</v>
      </c>
      <c r="K94" s="34">
        <v>30</v>
      </c>
      <c r="L94" s="54">
        <f t="shared" si="71"/>
        <v>10</v>
      </c>
      <c r="M94" s="34">
        <v>9</v>
      </c>
      <c r="N94" s="34"/>
      <c r="O94" s="34">
        <f t="shared" si="72"/>
        <v>48.4</v>
      </c>
      <c r="P94" s="56">
        <f t="shared" si="73"/>
        <v>29.04</v>
      </c>
      <c r="Q94" s="56">
        <f>'Lab Component'!K94</f>
        <v>19</v>
      </c>
      <c r="R94" s="56">
        <f t="shared" si="74"/>
        <v>48.04</v>
      </c>
      <c r="S94" s="56">
        <f t="shared" si="75"/>
        <v>49</v>
      </c>
      <c r="T94" s="3">
        <v>37</v>
      </c>
    </row>
    <row r="95" spans="1:20">
      <c r="A95" s="4">
        <v>83</v>
      </c>
      <c r="B95" s="5" t="s">
        <v>190</v>
      </c>
      <c r="C95" s="13" t="s">
        <v>191</v>
      </c>
      <c r="D95" s="34">
        <v>49</v>
      </c>
      <c r="E95" s="49">
        <f t="shared" ref="E95:I95" si="93">((D95*30)/50)</f>
        <v>29.4</v>
      </c>
      <c r="F95" s="34">
        <v>50</v>
      </c>
      <c r="G95" s="49">
        <f t="shared" si="93"/>
        <v>30</v>
      </c>
      <c r="H95" s="34">
        <v>47</v>
      </c>
      <c r="I95" s="49">
        <f t="shared" si="93"/>
        <v>28.2</v>
      </c>
      <c r="J95" s="49">
        <f t="shared" si="70"/>
        <v>29.2</v>
      </c>
      <c r="K95" s="34">
        <v>30</v>
      </c>
      <c r="L95" s="54">
        <f t="shared" si="71"/>
        <v>10</v>
      </c>
      <c r="M95" s="34">
        <v>10</v>
      </c>
      <c r="N95" s="34"/>
      <c r="O95" s="56">
        <f t="shared" si="72"/>
        <v>49.2</v>
      </c>
      <c r="P95" s="56">
        <f t="shared" si="73"/>
        <v>29.52</v>
      </c>
      <c r="Q95" s="56">
        <f>'Lab Component'!K95</f>
        <v>20</v>
      </c>
      <c r="R95" s="56">
        <f t="shared" si="74"/>
        <v>49.52</v>
      </c>
      <c r="S95" s="56">
        <f t="shared" si="75"/>
        <v>50</v>
      </c>
      <c r="T95" s="3">
        <v>36</v>
      </c>
    </row>
    <row r="96" spans="1:20">
      <c r="A96" s="4">
        <v>84</v>
      </c>
      <c r="B96" s="5" t="s">
        <v>192</v>
      </c>
      <c r="C96" s="13" t="s">
        <v>193</v>
      </c>
      <c r="D96" s="34">
        <v>40</v>
      </c>
      <c r="E96" s="49">
        <f t="shared" ref="E96:I96" si="94">((D96*30)/50)</f>
        <v>24</v>
      </c>
      <c r="F96" s="34">
        <v>49</v>
      </c>
      <c r="G96" s="49">
        <f t="shared" si="94"/>
        <v>29.4</v>
      </c>
      <c r="H96" s="34">
        <v>47</v>
      </c>
      <c r="I96" s="49">
        <f t="shared" si="94"/>
        <v>28.2</v>
      </c>
      <c r="J96" s="49">
        <f t="shared" si="70"/>
        <v>27.2</v>
      </c>
      <c r="K96" s="34">
        <v>30</v>
      </c>
      <c r="L96" s="54">
        <f t="shared" si="71"/>
        <v>10</v>
      </c>
      <c r="M96" s="34">
        <v>10</v>
      </c>
      <c r="N96" s="34"/>
      <c r="O96" s="56">
        <f t="shared" si="72"/>
        <v>47.2</v>
      </c>
      <c r="P96" s="56">
        <f t="shared" si="73"/>
        <v>28.32</v>
      </c>
      <c r="Q96" s="56">
        <f>'Lab Component'!K96</f>
        <v>18</v>
      </c>
      <c r="R96" s="56">
        <f t="shared" si="74"/>
        <v>46.32</v>
      </c>
      <c r="S96" s="56">
        <f t="shared" si="75"/>
        <v>47</v>
      </c>
      <c r="T96" s="3">
        <v>37</v>
      </c>
    </row>
    <row r="97" spans="1:20">
      <c r="A97" s="4">
        <v>85</v>
      </c>
      <c r="B97" s="5" t="s">
        <v>194</v>
      </c>
      <c r="C97" s="13" t="s">
        <v>195</v>
      </c>
      <c r="D97" s="34">
        <v>38</v>
      </c>
      <c r="E97" s="49">
        <f t="shared" ref="E97:I97" si="95">((D97*30)/50)</f>
        <v>22.8</v>
      </c>
      <c r="F97" s="34">
        <v>44</v>
      </c>
      <c r="G97" s="49">
        <f t="shared" si="95"/>
        <v>26.4</v>
      </c>
      <c r="H97" s="34">
        <v>40</v>
      </c>
      <c r="I97" s="49">
        <f t="shared" si="95"/>
        <v>24</v>
      </c>
      <c r="J97" s="49">
        <f t="shared" si="70"/>
        <v>24.4</v>
      </c>
      <c r="K97" s="34">
        <v>30</v>
      </c>
      <c r="L97" s="54">
        <f t="shared" si="71"/>
        <v>10</v>
      </c>
      <c r="M97" s="34">
        <v>8.5</v>
      </c>
      <c r="N97" s="34"/>
      <c r="O97" s="56">
        <f t="shared" si="72"/>
        <v>42.9</v>
      </c>
      <c r="P97" s="56">
        <f t="shared" si="73"/>
        <v>25.74</v>
      </c>
      <c r="Q97" s="56">
        <f>'Lab Component'!K97</f>
        <v>18</v>
      </c>
      <c r="R97" s="56">
        <f t="shared" si="74"/>
        <v>43.74</v>
      </c>
      <c r="S97" s="56">
        <f t="shared" si="75"/>
        <v>44</v>
      </c>
      <c r="T97" s="3">
        <v>37</v>
      </c>
    </row>
    <row r="98" spans="1:20">
      <c r="A98" s="4">
        <v>86</v>
      </c>
      <c r="B98" s="5" t="s">
        <v>196</v>
      </c>
      <c r="C98" s="13" t="s">
        <v>197</v>
      </c>
      <c r="D98" s="34">
        <v>36</v>
      </c>
      <c r="E98" s="49">
        <f t="shared" ref="E98:I98" si="96">((D98*30)/50)</f>
        <v>21.6</v>
      </c>
      <c r="F98" s="34">
        <v>47</v>
      </c>
      <c r="G98" s="49">
        <f t="shared" si="96"/>
        <v>28.2</v>
      </c>
      <c r="H98" s="34">
        <v>42</v>
      </c>
      <c r="I98" s="49">
        <f t="shared" si="96"/>
        <v>25.2</v>
      </c>
      <c r="J98" s="49">
        <f t="shared" si="70"/>
        <v>25</v>
      </c>
      <c r="K98" s="34">
        <v>30</v>
      </c>
      <c r="L98" s="54">
        <f t="shared" si="71"/>
        <v>10</v>
      </c>
      <c r="M98" s="34">
        <v>8.5</v>
      </c>
      <c r="N98" s="34"/>
      <c r="O98" s="56">
        <f t="shared" si="72"/>
        <v>43.5</v>
      </c>
      <c r="P98" s="56">
        <f t="shared" si="73"/>
        <v>26.1</v>
      </c>
      <c r="Q98" s="56">
        <f>'Lab Component'!K98</f>
        <v>19</v>
      </c>
      <c r="R98" s="56">
        <f t="shared" si="74"/>
        <v>45.1</v>
      </c>
      <c r="S98" s="56">
        <f t="shared" si="75"/>
        <v>46</v>
      </c>
      <c r="T98" s="3">
        <v>37</v>
      </c>
    </row>
    <row r="99" spans="1:20">
      <c r="A99" s="4">
        <v>87</v>
      </c>
      <c r="B99" s="5" t="s">
        <v>198</v>
      </c>
      <c r="C99" s="13" t="s">
        <v>199</v>
      </c>
      <c r="D99" s="34">
        <v>30</v>
      </c>
      <c r="E99" s="49">
        <f t="shared" ref="E99:I99" si="97">((D99*30)/50)</f>
        <v>18</v>
      </c>
      <c r="F99" s="34">
        <v>45</v>
      </c>
      <c r="G99" s="49">
        <f t="shared" si="97"/>
        <v>27</v>
      </c>
      <c r="H99" s="34">
        <v>46</v>
      </c>
      <c r="I99" s="49">
        <f t="shared" si="97"/>
        <v>27.6</v>
      </c>
      <c r="J99" s="49">
        <f t="shared" si="70"/>
        <v>24.2</v>
      </c>
      <c r="K99" s="34">
        <v>30</v>
      </c>
      <c r="L99" s="54">
        <f t="shared" si="71"/>
        <v>10</v>
      </c>
      <c r="M99" s="34">
        <v>8.5</v>
      </c>
      <c r="N99" s="34"/>
      <c r="O99" s="56">
        <f t="shared" si="72"/>
        <v>42.7</v>
      </c>
      <c r="P99" s="56">
        <f t="shared" si="73"/>
        <v>25.62</v>
      </c>
      <c r="Q99" s="56">
        <f>'Lab Component'!K99</f>
        <v>20</v>
      </c>
      <c r="R99" s="56">
        <f t="shared" si="74"/>
        <v>45.62</v>
      </c>
      <c r="S99" s="56">
        <f t="shared" si="75"/>
        <v>46</v>
      </c>
      <c r="T99" s="3">
        <v>37</v>
      </c>
    </row>
    <row r="100" spans="1:20">
      <c r="A100" s="4">
        <v>88</v>
      </c>
      <c r="B100" s="5" t="s">
        <v>200</v>
      </c>
      <c r="C100" s="13" t="s">
        <v>201</v>
      </c>
      <c r="D100" s="34">
        <v>49</v>
      </c>
      <c r="E100" s="49">
        <f t="shared" ref="E100:I100" si="98">((D100*30)/50)</f>
        <v>29.4</v>
      </c>
      <c r="F100" s="34">
        <v>50</v>
      </c>
      <c r="G100" s="49">
        <f t="shared" si="98"/>
        <v>30</v>
      </c>
      <c r="H100" s="34">
        <v>50</v>
      </c>
      <c r="I100" s="49">
        <f t="shared" si="98"/>
        <v>30</v>
      </c>
      <c r="J100" s="49">
        <f t="shared" si="70"/>
        <v>29.8</v>
      </c>
      <c r="K100" s="34">
        <v>30</v>
      </c>
      <c r="L100" s="54">
        <f t="shared" si="71"/>
        <v>10</v>
      </c>
      <c r="M100" s="34">
        <v>10</v>
      </c>
      <c r="N100" s="34"/>
      <c r="O100" s="56">
        <f t="shared" si="72"/>
        <v>49.8</v>
      </c>
      <c r="P100" s="56">
        <f t="shared" si="73"/>
        <v>29.88</v>
      </c>
      <c r="Q100" s="56">
        <f>'Lab Component'!K100</f>
        <v>19</v>
      </c>
      <c r="R100" s="56">
        <f t="shared" si="74"/>
        <v>48.88</v>
      </c>
      <c r="S100" s="56">
        <f t="shared" si="75"/>
        <v>49</v>
      </c>
      <c r="T100" s="3">
        <v>38</v>
      </c>
    </row>
    <row r="101" ht="30" spans="1:20">
      <c r="A101" s="4">
        <v>89</v>
      </c>
      <c r="B101" s="5" t="s">
        <v>202</v>
      </c>
      <c r="C101" s="13" t="s">
        <v>203</v>
      </c>
      <c r="D101" s="34">
        <v>22</v>
      </c>
      <c r="E101" s="49">
        <f t="shared" ref="E101:I101" si="99">((D101*30)/50)</f>
        <v>13.2</v>
      </c>
      <c r="F101" s="34">
        <v>30</v>
      </c>
      <c r="G101" s="49">
        <f t="shared" si="99"/>
        <v>18</v>
      </c>
      <c r="H101" s="34">
        <v>24</v>
      </c>
      <c r="I101" s="49">
        <f t="shared" si="99"/>
        <v>14.4</v>
      </c>
      <c r="J101" s="49">
        <f t="shared" si="70"/>
        <v>15.2</v>
      </c>
      <c r="K101" s="34">
        <v>30</v>
      </c>
      <c r="L101" s="54">
        <f t="shared" si="71"/>
        <v>10</v>
      </c>
      <c r="M101" s="34">
        <v>9</v>
      </c>
      <c r="N101" s="34"/>
      <c r="O101" s="56">
        <f t="shared" si="72"/>
        <v>34.2</v>
      </c>
      <c r="P101" s="56">
        <f t="shared" si="73"/>
        <v>20.52</v>
      </c>
      <c r="Q101" s="56">
        <f>'Lab Component'!K101</f>
        <v>18</v>
      </c>
      <c r="R101" s="56">
        <f t="shared" si="74"/>
        <v>38.52</v>
      </c>
      <c r="S101" s="56">
        <f t="shared" si="75"/>
        <v>39</v>
      </c>
      <c r="T101" s="3">
        <v>38</v>
      </c>
    </row>
    <row r="102" spans="1:20">
      <c r="A102" s="4">
        <v>90</v>
      </c>
      <c r="B102" s="5" t="s">
        <v>204</v>
      </c>
      <c r="C102" s="13" t="s">
        <v>205</v>
      </c>
      <c r="D102" s="34">
        <v>50</v>
      </c>
      <c r="E102" s="49">
        <f t="shared" ref="E102:I102" si="100">((D102*30)/50)</f>
        <v>30</v>
      </c>
      <c r="F102" s="34">
        <v>50</v>
      </c>
      <c r="G102" s="49">
        <f t="shared" si="100"/>
        <v>30</v>
      </c>
      <c r="H102" s="34">
        <v>50</v>
      </c>
      <c r="I102" s="49">
        <f t="shared" si="100"/>
        <v>30</v>
      </c>
      <c r="J102" s="49">
        <f t="shared" si="70"/>
        <v>30</v>
      </c>
      <c r="K102" s="34">
        <v>30</v>
      </c>
      <c r="L102" s="54">
        <f t="shared" si="71"/>
        <v>10</v>
      </c>
      <c r="M102" s="34">
        <v>10</v>
      </c>
      <c r="N102" s="34"/>
      <c r="O102" s="34">
        <f t="shared" si="72"/>
        <v>50</v>
      </c>
      <c r="P102" s="56">
        <f t="shared" si="73"/>
        <v>30</v>
      </c>
      <c r="Q102" s="56">
        <f>'Lab Component'!K102</f>
        <v>19</v>
      </c>
      <c r="R102" s="56">
        <f t="shared" si="74"/>
        <v>49</v>
      </c>
      <c r="S102" s="56">
        <f t="shared" si="75"/>
        <v>49</v>
      </c>
      <c r="T102" s="3">
        <v>39</v>
      </c>
    </row>
    <row r="103" spans="1:20">
      <c r="A103" s="4">
        <v>91</v>
      </c>
      <c r="B103" s="5" t="s">
        <v>206</v>
      </c>
      <c r="C103" s="13" t="s">
        <v>207</v>
      </c>
      <c r="D103" s="34">
        <v>50</v>
      </c>
      <c r="E103" s="49">
        <f t="shared" ref="E103:I103" si="101">((D103*30)/50)</f>
        <v>30</v>
      </c>
      <c r="F103" s="34">
        <v>50</v>
      </c>
      <c r="G103" s="49">
        <f t="shared" si="101"/>
        <v>30</v>
      </c>
      <c r="H103" s="34">
        <v>48</v>
      </c>
      <c r="I103" s="49">
        <f t="shared" si="101"/>
        <v>28.8</v>
      </c>
      <c r="J103" s="49">
        <f t="shared" si="70"/>
        <v>29.6</v>
      </c>
      <c r="K103" s="34">
        <v>30</v>
      </c>
      <c r="L103" s="54">
        <f t="shared" si="71"/>
        <v>10</v>
      </c>
      <c r="M103" s="34">
        <v>10</v>
      </c>
      <c r="N103" s="34"/>
      <c r="O103" s="34">
        <f t="shared" si="72"/>
        <v>49.6</v>
      </c>
      <c r="P103" s="56">
        <f t="shared" si="73"/>
        <v>29.76</v>
      </c>
      <c r="Q103" s="56">
        <f>'Lab Component'!K103</f>
        <v>20</v>
      </c>
      <c r="R103" s="56">
        <f t="shared" si="74"/>
        <v>49.76</v>
      </c>
      <c r="S103" s="56">
        <f t="shared" si="75"/>
        <v>50</v>
      </c>
      <c r="T103" s="3">
        <v>38</v>
      </c>
    </row>
    <row r="104" spans="1:20">
      <c r="A104" s="4">
        <v>92</v>
      </c>
      <c r="B104" s="5" t="s">
        <v>208</v>
      </c>
      <c r="C104" s="13" t="s">
        <v>209</v>
      </c>
      <c r="D104" s="34">
        <v>37</v>
      </c>
      <c r="E104" s="49">
        <f t="shared" ref="E104:I104" si="102">((D104*30)/50)</f>
        <v>22.2</v>
      </c>
      <c r="F104" s="34">
        <v>42</v>
      </c>
      <c r="G104" s="49">
        <f t="shared" si="102"/>
        <v>25.2</v>
      </c>
      <c r="H104" s="34">
        <v>35</v>
      </c>
      <c r="I104" s="49">
        <f t="shared" si="102"/>
        <v>21</v>
      </c>
      <c r="J104" s="49">
        <f t="shared" si="70"/>
        <v>22.8</v>
      </c>
      <c r="K104" s="34">
        <v>30</v>
      </c>
      <c r="L104" s="54">
        <f t="shared" si="71"/>
        <v>10</v>
      </c>
      <c r="M104" s="34">
        <v>8.5</v>
      </c>
      <c r="N104" s="34"/>
      <c r="O104" s="56">
        <f t="shared" si="72"/>
        <v>41.3</v>
      </c>
      <c r="P104" s="56">
        <f t="shared" si="73"/>
        <v>24.78</v>
      </c>
      <c r="Q104" s="56">
        <f>'Lab Component'!K104</f>
        <v>19</v>
      </c>
      <c r="R104" s="56">
        <f t="shared" si="74"/>
        <v>43.78</v>
      </c>
      <c r="S104" s="56">
        <f t="shared" si="75"/>
        <v>44</v>
      </c>
      <c r="T104" s="3">
        <v>38</v>
      </c>
    </row>
    <row r="105" spans="1:20">
      <c r="A105" s="4">
        <v>93</v>
      </c>
      <c r="B105" s="5" t="s">
        <v>210</v>
      </c>
      <c r="C105" s="13" t="s">
        <v>211</v>
      </c>
      <c r="D105" s="34">
        <v>26</v>
      </c>
      <c r="E105" s="49">
        <f t="shared" ref="E105:I105" si="103">((D105*30)/50)</f>
        <v>15.6</v>
      </c>
      <c r="F105" s="34">
        <v>0</v>
      </c>
      <c r="G105" s="49">
        <f t="shared" si="103"/>
        <v>0</v>
      </c>
      <c r="H105" s="34">
        <v>28</v>
      </c>
      <c r="I105" s="49">
        <f t="shared" si="103"/>
        <v>16.8</v>
      </c>
      <c r="J105" s="49">
        <f t="shared" si="70"/>
        <v>10.8</v>
      </c>
      <c r="K105" s="34">
        <v>30</v>
      </c>
      <c r="L105" s="54">
        <f t="shared" si="71"/>
        <v>10</v>
      </c>
      <c r="M105" s="34">
        <v>10</v>
      </c>
      <c r="N105" s="34"/>
      <c r="O105" s="56">
        <f t="shared" si="72"/>
        <v>30.8</v>
      </c>
      <c r="P105" s="56">
        <f t="shared" si="73"/>
        <v>18.48</v>
      </c>
      <c r="Q105" s="56" t="e">
        <f>'Lab Component'!K105</f>
        <v>#DIV/0!</v>
      </c>
      <c r="R105" s="56" t="e">
        <f t="shared" si="74"/>
        <v>#DIV/0!</v>
      </c>
      <c r="S105" s="56" t="e">
        <f t="shared" si="75"/>
        <v>#DIV/0!</v>
      </c>
      <c r="T105" s="3">
        <v>36</v>
      </c>
    </row>
    <row r="106" spans="1:20">
      <c r="A106" s="4">
        <v>94</v>
      </c>
      <c r="B106" s="5" t="s">
        <v>212</v>
      </c>
      <c r="C106" s="13" t="s">
        <v>213</v>
      </c>
      <c r="D106" s="34">
        <v>50</v>
      </c>
      <c r="E106" s="49">
        <f t="shared" ref="E106:I106" si="104">((D106*30)/50)</f>
        <v>30</v>
      </c>
      <c r="F106" s="34">
        <v>38</v>
      </c>
      <c r="G106" s="49">
        <f t="shared" si="104"/>
        <v>22.8</v>
      </c>
      <c r="H106" s="34">
        <v>50</v>
      </c>
      <c r="I106" s="49">
        <f t="shared" si="104"/>
        <v>30</v>
      </c>
      <c r="J106" s="49">
        <f t="shared" si="70"/>
        <v>27.6</v>
      </c>
      <c r="K106" s="34">
        <v>30</v>
      </c>
      <c r="L106" s="54">
        <f t="shared" si="71"/>
        <v>10</v>
      </c>
      <c r="M106" s="34">
        <v>10</v>
      </c>
      <c r="N106" s="34"/>
      <c r="O106" s="56">
        <f t="shared" si="72"/>
        <v>47.6</v>
      </c>
      <c r="P106" s="56">
        <f t="shared" si="73"/>
        <v>28.56</v>
      </c>
      <c r="Q106" s="56">
        <f>'Lab Component'!K106</f>
        <v>19</v>
      </c>
      <c r="R106" s="56">
        <f t="shared" si="74"/>
        <v>47.56</v>
      </c>
      <c r="S106" s="56">
        <f t="shared" si="75"/>
        <v>48</v>
      </c>
      <c r="T106" s="3">
        <v>37</v>
      </c>
    </row>
    <row r="107" spans="1:20">
      <c r="A107" s="4">
        <v>95</v>
      </c>
      <c r="B107" s="5" t="s">
        <v>214</v>
      </c>
      <c r="C107" s="13" t="s">
        <v>215</v>
      </c>
      <c r="D107" s="34">
        <v>44</v>
      </c>
      <c r="E107" s="49">
        <f t="shared" ref="E107:I107" si="105">((D107*30)/50)</f>
        <v>26.4</v>
      </c>
      <c r="F107" s="34">
        <v>49</v>
      </c>
      <c r="G107" s="49">
        <f t="shared" si="105"/>
        <v>29.4</v>
      </c>
      <c r="H107" s="34">
        <v>46</v>
      </c>
      <c r="I107" s="49">
        <f t="shared" si="105"/>
        <v>27.6</v>
      </c>
      <c r="J107" s="49">
        <f t="shared" si="70"/>
        <v>27.8</v>
      </c>
      <c r="K107" s="34">
        <v>30</v>
      </c>
      <c r="L107" s="54">
        <f t="shared" si="71"/>
        <v>10</v>
      </c>
      <c r="M107" s="34">
        <v>9.5</v>
      </c>
      <c r="N107" s="34"/>
      <c r="O107" s="56">
        <f t="shared" si="72"/>
        <v>47.3</v>
      </c>
      <c r="P107" s="56">
        <f t="shared" si="73"/>
        <v>28.38</v>
      </c>
      <c r="Q107" s="56">
        <f>'Lab Component'!K107</f>
        <v>18</v>
      </c>
      <c r="R107" s="56">
        <f t="shared" si="74"/>
        <v>46.38</v>
      </c>
      <c r="S107" s="56">
        <f t="shared" si="75"/>
        <v>47</v>
      </c>
      <c r="T107" s="3">
        <v>37</v>
      </c>
    </row>
    <row r="108" spans="1:20">
      <c r="A108" s="4">
        <v>96</v>
      </c>
      <c r="B108" s="5" t="s">
        <v>216</v>
      </c>
      <c r="C108" s="13" t="s">
        <v>217</v>
      </c>
      <c r="D108" s="34">
        <v>49</v>
      </c>
      <c r="E108" s="49">
        <f t="shared" ref="E108:I108" si="106">((D108*30)/50)</f>
        <v>29.4</v>
      </c>
      <c r="F108" s="34">
        <v>49</v>
      </c>
      <c r="G108" s="49">
        <f t="shared" si="106"/>
        <v>29.4</v>
      </c>
      <c r="H108" s="34">
        <v>50</v>
      </c>
      <c r="I108" s="49">
        <f t="shared" si="106"/>
        <v>30</v>
      </c>
      <c r="J108" s="49">
        <f t="shared" si="70"/>
        <v>29.6</v>
      </c>
      <c r="K108" s="34">
        <v>30</v>
      </c>
      <c r="L108" s="54">
        <f t="shared" si="71"/>
        <v>10</v>
      </c>
      <c r="M108" s="34">
        <v>9.5</v>
      </c>
      <c r="N108" s="34"/>
      <c r="O108" s="56">
        <f t="shared" si="72"/>
        <v>49.1</v>
      </c>
      <c r="P108" s="56">
        <f t="shared" si="73"/>
        <v>29.46</v>
      </c>
      <c r="Q108" s="56">
        <f>'Lab Component'!K108</f>
        <v>19</v>
      </c>
      <c r="R108" s="56">
        <f t="shared" si="74"/>
        <v>48.46</v>
      </c>
      <c r="S108" s="56">
        <f t="shared" si="75"/>
        <v>49</v>
      </c>
      <c r="T108" s="3">
        <v>38</v>
      </c>
    </row>
    <row r="109" ht="30" spans="1:20">
      <c r="A109" s="4">
        <v>97</v>
      </c>
      <c r="B109" s="5" t="s">
        <v>218</v>
      </c>
      <c r="C109" s="13" t="s">
        <v>219</v>
      </c>
      <c r="D109" s="34">
        <v>36</v>
      </c>
      <c r="E109" s="49">
        <f t="shared" ref="E109:I109" si="107">((D109*30)/50)</f>
        <v>21.6</v>
      </c>
      <c r="F109" s="34">
        <v>44</v>
      </c>
      <c r="G109" s="49">
        <f t="shared" si="107"/>
        <v>26.4</v>
      </c>
      <c r="H109" s="34">
        <v>43</v>
      </c>
      <c r="I109" s="49">
        <f t="shared" si="107"/>
        <v>25.8</v>
      </c>
      <c r="J109" s="49">
        <f t="shared" si="70"/>
        <v>24.6</v>
      </c>
      <c r="K109" s="34">
        <v>30</v>
      </c>
      <c r="L109" s="54">
        <f t="shared" si="71"/>
        <v>10</v>
      </c>
      <c r="M109" s="34">
        <v>10</v>
      </c>
      <c r="N109" s="34"/>
      <c r="O109" s="56">
        <f t="shared" si="72"/>
        <v>44.6</v>
      </c>
      <c r="P109" s="56">
        <f t="shared" si="73"/>
        <v>26.76</v>
      </c>
      <c r="Q109" s="56">
        <f>'Lab Component'!K109</f>
        <v>19</v>
      </c>
      <c r="R109" s="56">
        <f t="shared" si="74"/>
        <v>45.76</v>
      </c>
      <c r="S109" s="56">
        <f t="shared" si="75"/>
        <v>46</v>
      </c>
      <c r="T109" s="3">
        <v>38</v>
      </c>
    </row>
    <row r="110" spans="1:20">
      <c r="A110" s="4">
        <v>98</v>
      </c>
      <c r="B110" s="5" t="s">
        <v>220</v>
      </c>
      <c r="C110" s="13" t="s">
        <v>221</v>
      </c>
      <c r="D110" s="34">
        <v>34</v>
      </c>
      <c r="E110" s="49">
        <f t="shared" ref="E110:I110" si="108">((D110*30)/50)</f>
        <v>20.4</v>
      </c>
      <c r="F110" s="34">
        <v>46</v>
      </c>
      <c r="G110" s="49">
        <f t="shared" si="108"/>
        <v>27.6</v>
      </c>
      <c r="H110" s="34">
        <v>48</v>
      </c>
      <c r="I110" s="49">
        <f t="shared" si="108"/>
        <v>28.8</v>
      </c>
      <c r="J110" s="49">
        <f t="shared" si="70"/>
        <v>25.6</v>
      </c>
      <c r="K110" s="34">
        <v>30</v>
      </c>
      <c r="L110" s="54">
        <f t="shared" si="71"/>
        <v>10</v>
      </c>
      <c r="M110" s="34">
        <v>9</v>
      </c>
      <c r="N110" s="34"/>
      <c r="O110" s="56">
        <f t="shared" si="72"/>
        <v>44.6</v>
      </c>
      <c r="P110" s="56">
        <f t="shared" si="73"/>
        <v>26.76</v>
      </c>
      <c r="Q110" s="56">
        <f>'Lab Component'!K110</f>
        <v>19</v>
      </c>
      <c r="R110" s="56">
        <f t="shared" si="74"/>
        <v>45.76</v>
      </c>
      <c r="S110" s="56">
        <f t="shared" si="75"/>
        <v>46</v>
      </c>
      <c r="T110" s="3">
        <v>36</v>
      </c>
    </row>
    <row r="111" spans="1:20">
      <c r="A111" s="4">
        <v>99</v>
      </c>
      <c r="B111" s="5" t="s">
        <v>222</v>
      </c>
      <c r="C111" s="13" t="s">
        <v>223</v>
      </c>
      <c r="D111" s="34">
        <v>41</v>
      </c>
      <c r="E111" s="49">
        <f t="shared" ref="E111:I111" si="109">((D111*30)/50)</f>
        <v>24.6</v>
      </c>
      <c r="F111" s="34">
        <v>28</v>
      </c>
      <c r="G111" s="49">
        <f t="shared" si="109"/>
        <v>16.8</v>
      </c>
      <c r="H111" s="34">
        <v>39</v>
      </c>
      <c r="I111" s="49">
        <f t="shared" si="109"/>
        <v>23.4</v>
      </c>
      <c r="J111" s="49">
        <f t="shared" si="70"/>
        <v>21.6</v>
      </c>
      <c r="K111" s="34">
        <v>30</v>
      </c>
      <c r="L111" s="54">
        <f t="shared" si="71"/>
        <v>10</v>
      </c>
      <c r="M111" s="34">
        <v>10</v>
      </c>
      <c r="N111" s="34"/>
      <c r="O111" s="34">
        <f t="shared" si="72"/>
        <v>41.6</v>
      </c>
      <c r="P111" s="56">
        <f t="shared" si="73"/>
        <v>24.96</v>
      </c>
      <c r="Q111" s="56">
        <f>'Lab Component'!K111</f>
        <v>20</v>
      </c>
      <c r="R111" s="56">
        <f t="shared" si="74"/>
        <v>44.96</v>
      </c>
      <c r="S111" s="56">
        <f t="shared" si="75"/>
        <v>45</v>
      </c>
      <c r="T111" s="3">
        <v>36</v>
      </c>
    </row>
    <row r="112" spans="1:20">
      <c r="A112" s="4">
        <v>100</v>
      </c>
      <c r="B112" s="5" t="s">
        <v>224</v>
      </c>
      <c r="C112" s="13" t="s">
        <v>225</v>
      </c>
      <c r="D112" s="34">
        <v>50</v>
      </c>
      <c r="E112" s="49">
        <f t="shared" ref="E112:I112" si="110">((D112*30)/50)</f>
        <v>30</v>
      </c>
      <c r="F112" s="34">
        <v>50</v>
      </c>
      <c r="G112" s="49">
        <f t="shared" si="110"/>
        <v>30</v>
      </c>
      <c r="H112" s="34">
        <v>49</v>
      </c>
      <c r="I112" s="49">
        <f t="shared" si="110"/>
        <v>29.4</v>
      </c>
      <c r="J112" s="49">
        <f t="shared" si="70"/>
        <v>29.8</v>
      </c>
      <c r="K112" s="34">
        <v>30</v>
      </c>
      <c r="L112" s="54">
        <f t="shared" si="71"/>
        <v>10</v>
      </c>
      <c r="M112" s="34">
        <v>10</v>
      </c>
      <c r="N112" s="34"/>
      <c r="O112" s="34">
        <f t="shared" si="72"/>
        <v>49.8</v>
      </c>
      <c r="P112" s="56">
        <f t="shared" si="73"/>
        <v>29.88</v>
      </c>
      <c r="Q112" s="56">
        <f>'Lab Component'!K112</f>
        <v>20</v>
      </c>
      <c r="R112" s="56">
        <f t="shared" si="74"/>
        <v>49.88</v>
      </c>
      <c r="S112" s="56">
        <f t="shared" si="75"/>
        <v>50</v>
      </c>
      <c r="T112" s="3">
        <v>39</v>
      </c>
    </row>
    <row r="113" spans="1:20">
      <c r="A113" s="4">
        <v>101</v>
      </c>
      <c r="B113" s="5" t="s">
        <v>226</v>
      </c>
      <c r="C113" s="13" t="s">
        <v>227</v>
      </c>
      <c r="D113" s="34">
        <v>39</v>
      </c>
      <c r="E113" s="49">
        <f t="shared" ref="E113:I113" si="111">((D113*30)/50)</f>
        <v>23.4</v>
      </c>
      <c r="F113" s="34">
        <v>50</v>
      </c>
      <c r="G113" s="49">
        <f t="shared" si="111"/>
        <v>30</v>
      </c>
      <c r="H113" s="34">
        <v>46</v>
      </c>
      <c r="I113" s="49">
        <f t="shared" si="111"/>
        <v>27.6</v>
      </c>
      <c r="J113" s="49">
        <f t="shared" si="70"/>
        <v>27</v>
      </c>
      <c r="K113" s="34">
        <v>30</v>
      </c>
      <c r="L113" s="54">
        <f t="shared" si="71"/>
        <v>10</v>
      </c>
      <c r="M113" s="34">
        <v>8.5</v>
      </c>
      <c r="N113" s="34"/>
      <c r="O113" s="56">
        <f t="shared" si="72"/>
        <v>45.5</v>
      </c>
      <c r="P113" s="56">
        <f t="shared" si="73"/>
        <v>27.3</v>
      </c>
      <c r="Q113" s="56">
        <f>'Lab Component'!K113</f>
        <v>19</v>
      </c>
      <c r="R113" s="56">
        <f t="shared" si="74"/>
        <v>46.3</v>
      </c>
      <c r="S113" s="56">
        <f t="shared" si="75"/>
        <v>47</v>
      </c>
      <c r="T113" s="3">
        <v>40</v>
      </c>
    </row>
    <row r="114" spans="1:20">
      <c r="A114" s="4">
        <v>102</v>
      </c>
      <c r="B114" s="5" t="s">
        <v>228</v>
      </c>
      <c r="C114" s="13" t="s">
        <v>229</v>
      </c>
      <c r="D114" s="34">
        <v>33</v>
      </c>
      <c r="E114" s="49">
        <f t="shared" ref="E114:I114" si="112">((D114*30)/50)</f>
        <v>19.8</v>
      </c>
      <c r="F114" s="34">
        <v>37</v>
      </c>
      <c r="G114" s="49">
        <f t="shared" si="112"/>
        <v>22.2</v>
      </c>
      <c r="H114" s="34">
        <v>46</v>
      </c>
      <c r="I114" s="49">
        <f t="shared" si="112"/>
        <v>27.6</v>
      </c>
      <c r="J114" s="49">
        <f t="shared" si="70"/>
        <v>23.2</v>
      </c>
      <c r="K114" s="34">
        <v>30</v>
      </c>
      <c r="L114" s="54">
        <f t="shared" si="71"/>
        <v>10</v>
      </c>
      <c r="M114" s="34">
        <v>10</v>
      </c>
      <c r="N114" s="34"/>
      <c r="O114" s="56">
        <f t="shared" si="72"/>
        <v>43.2</v>
      </c>
      <c r="P114" s="56">
        <f t="shared" si="73"/>
        <v>25.92</v>
      </c>
      <c r="Q114" s="56">
        <f>'Lab Component'!K114</f>
        <v>19</v>
      </c>
      <c r="R114" s="56">
        <f t="shared" si="74"/>
        <v>44.92</v>
      </c>
      <c r="S114" s="56">
        <f t="shared" si="75"/>
        <v>45</v>
      </c>
      <c r="T114" s="3">
        <v>36</v>
      </c>
    </row>
    <row r="115" spans="1:20">
      <c r="A115" s="4">
        <v>103</v>
      </c>
      <c r="B115" s="5" t="s">
        <v>230</v>
      </c>
      <c r="C115" s="13" t="s">
        <v>231</v>
      </c>
      <c r="D115" s="34">
        <v>28</v>
      </c>
      <c r="E115" s="49">
        <f t="shared" ref="E115:I115" si="113">((D115*30)/50)</f>
        <v>16.8</v>
      </c>
      <c r="F115" s="34">
        <v>50</v>
      </c>
      <c r="G115" s="49">
        <f t="shared" si="113"/>
        <v>30</v>
      </c>
      <c r="H115" s="34">
        <v>44</v>
      </c>
      <c r="I115" s="49">
        <f t="shared" si="113"/>
        <v>26.4</v>
      </c>
      <c r="J115" s="49">
        <f t="shared" si="70"/>
        <v>24.4</v>
      </c>
      <c r="K115" s="34">
        <v>30</v>
      </c>
      <c r="L115" s="54">
        <f t="shared" si="71"/>
        <v>10</v>
      </c>
      <c r="M115" s="34">
        <v>9.5</v>
      </c>
      <c r="N115" s="34"/>
      <c r="O115" s="56">
        <f t="shared" si="72"/>
        <v>43.9</v>
      </c>
      <c r="P115" s="56">
        <f t="shared" si="73"/>
        <v>26.34</v>
      </c>
      <c r="Q115" s="56">
        <f>'Lab Component'!K115</f>
        <v>20</v>
      </c>
      <c r="R115" s="56">
        <f t="shared" si="74"/>
        <v>46.34</v>
      </c>
      <c r="S115" s="56">
        <f t="shared" si="75"/>
        <v>47</v>
      </c>
      <c r="T115" s="3">
        <v>37</v>
      </c>
    </row>
    <row r="116" spans="1:20">
      <c r="A116" s="4">
        <v>104</v>
      </c>
      <c r="B116" s="5" t="s">
        <v>232</v>
      </c>
      <c r="C116" s="13" t="s">
        <v>233</v>
      </c>
      <c r="D116" s="34">
        <v>50</v>
      </c>
      <c r="E116" s="49">
        <f t="shared" ref="E116:I116" si="114">((D116*30)/50)</f>
        <v>30</v>
      </c>
      <c r="F116" s="34">
        <v>34</v>
      </c>
      <c r="G116" s="49">
        <f t="shared" si="114"/>
        <v>20.4</v>
      </c>
      <c r="H116" s="34">
        <v>50</v>
      </c>
      <c r="I116" s="49">
        <f t="shared" si="114"/>
        <v>30</v>
      </c>
      <c r="J116" s="49">
        <f t="shared" si="70"/>
        <v>26.8</v>
      </c>
      <c r="K116" s="34">
        <v>30</v>
      </c>
      <c r="L116" s="54">
        <f t="shared" si="71"/>
        <v>10</v>
      </c>
      <c r="M116" s="34">
        <v>10</v>
      </c>
      <c r="N116" s="34"/>
      <c r="O116" s="56">
        <f t="shared" si="72"/>
        <v>46.8</v>
      </c>
      <c r="P116" s="56">
        <f t="shared" si="73"/>
        <v>28.08</v>
      </c>
      <c r="Q116" s="56">
        <f>'Lab Component'!K116</f>
        <v>20</v>
      </c>
      <c r="R116" s="56">
        <f t="shared" si="74"/>
        <v>48.08</v>
      </c>
      <c r="S116" s="56">
        <f t="shared" si="75"/>
        <v>49</v>
      </c>
      <c r="T116" s="3">
        <v>36</v>
      </c>
    </row>
    <row r="117" spans="1:20">
      <c r="A117" s="4">
        <v>105</v>
      </c>
      <c r="B117" s="5" t="s">
        <v>234</v>
      </c>
      <c r="C117" s="13" t="s">
        <v>235</v>
      </c>
      <c r="D117" s="34">
        <v>47</v>
      </c>
      <c r="E117" s="49">
        <f t="shared" ref="E117:I117" si="115">((D117*30)/50)</f>
        <v>28.2</v>
      </c>
      <c r="F117" s="34">
        <v>50</v>
      </c>
      <c r="G117" s="49">
        <f t="shared" si="115"/>
        <v>30</v>
      </c>
      <c r="H117" s="34">
        <v>50</v>
      </c>
      <c r="I117" s="49">
        <f t="shared" si="115"/>
        <v>30</v>
      </c>
      <c r="J117" s="49">
        <f t="shared" si="70"/>
        <v>29.4</v>
      </c>
      <c r="K117" s="34">
        <v>30</v>
      </c>
      <c r="L117" s="54">
        <f t="shared" si="71"/>
        <v>10</v>
      </c>
      <c r="M117" s="34">
        <v>9.5</v>
      </c>
      <c r="N117" s="34"/>
      <c r="O117" s="56">
        <f t="shared" si="72"/>
        <v>48.9</v>
      </c>
      <c r="P117" s="56">
        <f t="shared" si="73"/>
        <v>29.34</v>
      </c>
      <c r="Q117" s="56">
        <f>'Lab Component'!K117</f>
        <v>20</v>
      </c>
      <c r="R117" s="56">
        <f t="shared" si="74"/>
        <v>49.34</v>
      </c>
      <c r="S117" s="56">
        <f t="shared" si="75"/>
        <v>50</v>
      </c>
      <c r="T117" s="3">
        <v>37</v>
      </c>
    </row>
    <row r="118" spans="1:20">
      <c r="A118" s="4">
        <v>106</v>
      </c>
      <c r="B118" s="5" t="s">
        <v>236</v>
      </c>
      <c r="C118" s="13" t="s">
        <v>237</v>
      </c>
      <c r="D118" s="34">
        <v>28</v>
      </c>
      <c r="E118" s="49">
        <f t="shared" ref="E118:I118" si="116">((D118*30)/50)</f>
        <v>16.8</v>
      </c>
      <c r="F118" s="34">
        <v>36</v>
      </c>
      <c r="G118" s="49">
        <f t="shared" si="116"/>
        <v>21.6</v>
      </c>
      <c r="H118" s="34">
        <v>45</v>
      </c>
      <c r="I118" s="49">
        <f t="shared" si="116"/>
        <v>27</v>
      </c>
      <c r="J118" s="49">
        <f t="shared" si="70"/>
        <v>21.8</v>
      </c>
      <c r="K118" s="34">
        <v>30</v>
      </c>
      <c r="L118" s="54">
        <f t="shared" si="71"/>
        <v>10</v>
      </c>
      <c r="M118" s="34">
        <v>8.5</v>
      </c>
      <c r="N118" s="34"/>
      <c r="O118" s="56">
        <f t="shared" si="72"/>
        <v>40.3</v>
      </c>
      <c r="P118" s="56">
        <f t="shared" si="73"/>
        <v>24.18</v>
      </c>
      <c r="Q118" s="56">
        <f>'Lab Component'!K118</f>
        <v>20</v>
      </c>
      <c r="R118" s="56">
        <f t="shared" si="74"/>
        <v>44.18</v>
      </c>
      <c r="S118" s="56">
        <f t="shared" si="75"/>
        <v>45</v>
      </c>
      <c r="T118" s="3">
        <v>37</v>
      </c>
    </row>
    <row r="119" spans="1:20">
      <c r="A119" s="4">
        <v>107</v>
      </c>
      <c r="B119" s="5" t="s">
        <v>238</v>
      </c>
      <c r="C119" s="13" t="s">
        <v>239</v>
      </c>
      <c r="D119" s="34">
        <v>45</v>
      </c>
      <c r="E119" s="49">
        <f t="shared" ref="E119:I119" si="117">((D119*30)/50)</f>
        <v>27</v>
      </c>
      <c r="F119" s="34">
        <v>49</v>
      </c>
      <c r="G119" s="49">
        <f t="shared" si="117"/>
        <v>29.4</v>
      </c>
      <c r="H119" s="34">
        <v>48</v>
      </c>
      <c r="I119" s="49">
        <f t="shared" si="117"/>
        <v>28.8</v>
      </c>
      <c r="J119" s="49">
        <f t="shared" si="70"/>
        <v>28.4</v>
      </c>
      <c r="K119" s="34">
        <v>30</v>
      </c>
      <c r="L119" s="54">
        <f t="shared" si="71"/>
        <v>10</v>
      </c>
      <c r="M119" s="34">
        <v>8.5</v>
      </c>
      <c r="N119" s="34"/>
      <c r="O119" s="56">
        <f t="shared" si="72"/>
        <v>46.9</v>
      </c>
      <c r="P119" s="56">
        <f t="shared" si="73"/>
        <v>28.14</v>
      </c>
      <c r="Q119" s="56">
        <f>'Lab Component'!K119</f>
        <v>20</v>
      </c>
      <c r="R119" s="56">
        <f t="shared" si="74"/>
        <v>48.14</v>
      </c>
      <c r="S119" s="56">
        <f t="shared" si="75"/>
        <v>49</v>
      </c>
      <c r="T119" s="3">
        <v>38</v>
      </c>
    </row>
    <row r="120" spans="1:20">
      <c r="A120" s="4">
        <v>108</v>
      </c>
      <c r="B120" s="5" t="s">
        <v>240</v>
      </c>
      <c r="C120" s="13" t="s">
        <v>241</v>
      </c>
      <c r="D120" s="34">
        <v>50</v>
      </c>
      <c r="E120" s="49">
        <f t="shared" ref="E120:I120" si="118">((D120*30)/50)</f>
        <v>30</v>
      </c>
      <c r="F120" s="34">
        <v>50</v>
      </c>
      <c r="G120" s="49">
        <f t="shared" si="118"/>
        <v>30</v>
      </c>
      <c r="H120" s="34">
        <v>50</v>
      </c>
      <c r="I120" s="49">
        <f t="shared" si="118"/>
        <v>30</v>
      </c>
      <c r="J120" s="49">
        <f t="shared" si="70"/>
        <v>30</v>
      </c>
      <c r="K120" s="34">
        <v>30</v>
      </c>
      <c r="L120" s="54">
        <f t="shared" si="71"/>
        <v>10</v>
      </c>
      <c r="M120" s="34">
        <v>10</v>
      </c>
      <c r="N120" s="34"/>
      <c r="O120" s="34">
        <f t="shared" si="72"/>
        <v>50</v>
      </c>
      <c r="P120" s="56">
        <f t="shared" si="73"/>
        <v>30</v>
      </c>
      <c r="Q120" s="56">
        <f>'Lab Component'!K120</f>
        <v>20</v>
      </c>
      <c r="R120" s="56">
        <f t="shared" si="74"/>
        <v>50</v>
      </c>
      <c r="S120" s="56">
        <f t="shared" si="75"/>
        <v>50</v>
      </c>
      <c r="T120" s="3">
        <v>37</v>
      </c>
    </row>
    <row r="121" spans="1:20">
      <c r="A121" s="4">
        <v>109</v>
      </c>
      <c r="B121" s="5" t="s">
        <v>242</v>
      </c>
      <c r="C121" s="13" t="s">
        <v>243</v>
      </c>
      <c r="D121" s="34">
        <v>43</v>
      </c>
      <c r="E121" s="49">
        <f t="shared" ref="E121:I121" si="119">((D121*30)/50)</f>
        <v>25.8</v>
      </c>
      <c r="F121" s="34">
        <v>42</v>
      </c>
      <c r="G121" s="49">
        <f t="shared" si="119"/>
        <v>25.2</v>
      </c>
      <c r="H121" s="34">
        <v>38</v>
      </c>
      <c r="I121" s="49">
        <f t="shared" si="119"/>
        <v>22.8</v>
      </c>
      <c r="J121" s="49">
        <f t="shared" si="70"/>
        <v>24.6</v>
      </c>
      <c r="K121" s="34">
        <v>30</v>
      </c>
      <c r="L121" s="54">
        <f t="shared" si="71"/>
        <v>10</v>
      </c>
      <c r="M121" s="34">
        <v>10</v>
      </c>
      <c r="N121" s="34"/>
      <c r="O121" s="34">
        <f t="shared" si="72"/>
        <v>44.6</v>
      </c>
      <c r="P121" s="56">
        <f t="shared" si="73"/>
        <v>26.76</v>
      </c>
      <c r="Q121" s="56">
        <f>'Lab Component'!K121</f>
        <v>20</v>
      </c>
      <c r="R121" s="56">
        <f t="shared" si="74"/>
        <v>46.76</v>
      </c>
      <c r="S121" s="56">
        <f t="shared" si="75"/>
        <v>47</v>
      </c>
      <c r="T121" s="3">
        <v>38</v>
      </c>
    </row>
    <row r="122" spans="1:20">
      <c r="A122" s="4">
        <v>110</v>
      </c>
      <c r="B122" s="5" t="s">
        <v>244</v>
      </c>
      <c r="C122" s="13" t="s">
        <v>245</v>
      </c>
      <c r="D122" s="34">
        <v>48</v>
      </c>
      <c r="E122" s="49">
        <f t="shared" ref="E122:I122" si="120">((D122*30)/50)</f>
        <v>28.8</v>
      </c>
      <c r="F122" s="34">
        <v>50</v>
      </c>
      <c r="G122" s="49">
        <f t="shared" si="120"/>
        <v>30</v>
      </c>
      <c r="H122" s="34">
        <v>50</v>
      </c>
      <c r="I122" s="49">
        <f t="shared" si="120"/>
        <v>30</v>
      </c>
      <c r="J122" s="49">
        <f t="shared" si="70"/>
        <v>29.6</v>
      </c>
      <c r="K122" s="34">
        <v>30</v>
      </c>
      <c r="L122" s="54">
        <f t="shared" si="71"/>
        <v>10</v>
      </c>
      <c r="M122" s="34">
        <v>9.5</v>
      </c>
      <c r="N122" s="34"/>
      <c r="O122" s="56">
        <f t="shared" si="72"/>
        <v>49.1</v>
      </c>
      <c r="P122" s="56">
        <f t="shared" si="73"/>
        <v>29.46</v>
      </c>
      <c r="Q122" s="56">
        <f>'Lab Component'!K122</f>
        <v>20</v>
      </c>
      <c r="R122" s="56">
        <f t="shared" si="74"/>
        <v>49.46</v>
      </c>
      <c r="S122" s="56">
        <f t="shared" si="75"/>
        <v>50</v>
      </c>
      <c r="T122" s="3">
        <v>38</v>
      </c>
    </row>
    <row r="123" spans="1:20">
      <c r="A123" s="4">
        <v>111</v>
      </c>
      <c r="B123" s="5" t="s">
        <v>246</v>
      </c>
      <c r="C123" s="13" t="s">
        <v>247</v>
      </c>
      <c r="D123" s="34">
        <v>42</v>
      </c>
      <c r="E123" s="49">
        <f t="shared" ref="E123:I123" si="121">((D123*30)/50)</f>
        <v>25.2</v>
      </c>
      <c r="F123" s="34">
        <v>39</v>
      </c>
      <c r="G123" s="49">
        <f t="shared" si="121"/>
        <v>23.4</v>
      </c>
      <c r="H123" s="34">
        <v>41</v>
      </c>
      <c r="I123" s="49">
        <f t="shared" si="121"/>
        <v>24.6</v>
      </c>
      <c r="J123" s="49">
        <f t="shared" si="70"/>
        <v>24.4</v>
      </c>
      <c r="K123" s="34">
        <v>30</v>
      </c>
      <c r="L123" s="54">
        <f t="shared" si="71"/>
        <v>10</v>
      </c>
      <c r="M123" s="34">
        <v>10</v>
      </c>
      <c r="N123" s="34"/>
      <c r="O123" s="56">
        <f t="shared" si="72"/>
        <v>44.4</v>
      </c>
      <c r="P123" s="56">
        <f t="shared" si="73"/>
        <v>26.64</v>
      </c>
      <c r="Q123" s="56">
        <f>'Lab Component'!K123</f>
        <v>19</v>
      </c>
      <c r="R123" s="56">
        <f t="shared" si="74"/>
        <v>45.64</v>
      </c>
      <c r="S123" s="56">
        <f t="shared" si="75"/>
        <v>46</v>
      </c>
      <c r="T123" s="3">
        <v>38</v>
      </c>
    </row>
    <row r="124" spans="1:20">
      <c r="A124" s="4">
        <v>112</v>
      </c>
      <c r="B124" s="5" t="s">
        <v>248</v>
      </c>
      <c r="C124" s="13" t="s">
        <v>249</v>
      </c>
      <c r="D124" s="34">
        <v>40</v>
      </c>
      <c r="E124" s="49">
        <f t="shared" ref="E124:I124" si="122">((D124*30)/50)</f>
        <v>24</v>
      </c>
      <c r="F124" s="34">
        <v>47</v>
      </c>
      <c r="G124" s="49">
        <f t="shared" si="122"/>
        <v>28.2</v>
      </c>
      <c r="H124" s="34">
        <v>42</v>
      </c>
      <c r="I124" s="49">
        <f t="shared" si="122"/>
        <v>25.2</v>
      </c>
      <c r="J124" s="49">
        <f t="shared" si="70"/>
        <v>25.8</v>
      </c>
      <c r="K124" s="57">
        <v>30</v>
      </c>
      <c r="L124" s="54">
        <f t="shared" si="71"/>
        <v>10</v>
      </c>
      <c r="M124" s="34">
        <v>9</v>
      </c>
      <c r="N124" s="34"/>
      <c r="O124" s="56">
        <f t="shared" si="72"/>
        <v>44.8</v>
      </c>
      <c r="P124" s="56">
        <f t="shared" si="73"/>
        <v>26.88</v>
      </c>
      <c r="Q124" s="56">
        <f>'Lab Component'!K124</f>
        <v>19</v>
      </c>
      <c r="R124" s="56">
        <f t="shared" si="74"/>
        <v>45.88</v>
      </c>
      <c r="S124" s="56">
        <f t="shared" si="75"/>
        <v>46</v>
      </c>
      <c r="T124" s="3">
        <v>37</v>
      </c>
    </row>
    <row r="125" spans="1:20">
      <c r="A125" s="4">
        <v>113</v>
      </c>
      <c r="B125" s="5" t="s">
        <v>250</v>
      </c>
      <c r="C125" s="13" t="s">
        <v>251</v>
      </c>
      <c r="D125" s="34">
        <v>47</v>
      </c>
      <c r="E125" s="49">
        <f t="shared" ref="E125:I125" si="123">((D125*30)/50)</f>
        <v>28.2</v>
      </c>
      <c r="F125" s="34">
        <v>48</v>
      </c>
      <c r="G125" s="49">
        <f t="shared" si="123"/>
        <v>28.8</v>
      </c>
      <c r="H125" s="34">
        <v>50</v>
      </c>
      <c r="I125" s="49">
        <f t="shared" si="123"/>
        <v>30</v>
      </c>
      <c r="J125" s="49">
        <f t="shared" si="70"/>
        <v>29</v>
      </c>
      <c r="K125" s="58">
        <v>30</v>
      </c>
      <c r="L125" s="54">
        <f t="shared" si="71"/>
        <v>10</v>
      </c>
      <c r="M125" s="34">
        <v>10</v>
      </c>
      <c r="N125" s="34"/>
      <c r="O125" s="56">
        <f t="shared" si="72"/>
        <v>49</v>
      </c>
      <c r="P125" s="56">
        <f t="shared" si="73"/>
        <v>29.4</v>
      </c>
      <c r="Q125" s="56">
        <f>'Lab Component'!K125</f>
        <v>19</v>
      </c>
      <c r="R125" s="56">
        <f t="shared" si="74"/>
        <v>48.4</v>
      </c>
      <c r="S125" s="56">
        <f t="shared" si="75"/>
        <v>49</v>
      </c>
      <c r="T125" s="3">
        <v>37</v>
      </c>
    </row>
    <row r="126" spans="1:20">
      <c r="A126" s="4">
        <v>114</v>
      </c>
      <c r="B126" s="5" t="s">
        <v>252</v>
      </c>
      <c r="C126" s="13" t="s">
        <v>253</v>
      </c>
      <c r="D126" s="34">
        <v>23</v>
      </c>
      <c r="E126" s="49">
        <f t="shared" ref="E126:I126" si="124">((D126*30)/50)</f>
        <v>13.8</v>
      </c>
      <c r="F126" s="34">
        <v>30</v>
      </c>
      <c r="G126" s="49">
        <f t="shared" si="124"/>
        <v>18</v>
      </c>
      <c r="H126" s="34">
        <v>22</v>
      </c>
      <c r="I126" s="49">
        <f t="shared" si="124"/>
        <v>13.2</v>
      </c>
      <c r="J126" s="49">
        <f t="shared" si="70"/>
        <v>15</v>
      </c>
      <c r="K126" s="57">
        <v>30</v>
      </c>
      <c r="L126" s="54">
        <f t="shared" si="71"/>
        <v>10</v>
      </c>
      <c r="M126" s="34">
        <v>10</v>
      </c>
      <c r="N126" s="34"/>
      <c r="O126" s="56">
        <f t="shared" si="72"/>
        <v>35</v>
      </c>
      <c r="P126" s="56">
        <f t="shared" si="73"/>
        <v>21</v>
      </c>
      <c r="Q126" s="56">
        <f>'Lab Component'!K126</f>
        <v>18</v>
      </c>
      <c r="R126" s="56">
        <f t="shared" si="74"/>
        <v>39</v>
      </c>
      <c r="S126" s="56">
        <f t="shared" si="75"/>
        <v>39</v>
      </c>
      <c r="T126" s="3">
        <v>37</v>
      </c>
    </row>
    <row r="127" spans="1:20">
      <c r="A127" s="4">
        <v>115</v>
      </c>
      <c r="B127" s="5" t="s">
        <v>254</v>
      </c>
      <c r="C127" s="13" t="s">
        <v>255</v>
      </c>
      <c r="D127" s="34">
        <v>50</v>
      </c>
      <c r="E127" s="49">
        <f t="shared" ref="E127:I127" si="125">((D127*30)/50)</f>
        <v>30</v>
      </c>
      <c r="F127" s="34">
        <v>50</v>
      </c>
      <c r="G127" s="49">
        <f t="shared" si="125"/>
        <v>30</v>
      </c>
      <c r="H127" s="34">
        <v>50</v>
      </c>
      <c r="I127" s="49">
        <f t="shared" si="125"/>
        <v>30</v>
      </c>
      <c r="J127" s="49">
        <f t="shared" si="70"/>
        <v>30</v>
      </c>
      <c r="K127" s="58">
        <v>30</v>
      </c>
      <c r="L127" s="54">
        <f t="shared" si="71"/>
        <v>10</v>
      </c>
      <c r="M127" s="34">
        <v>10</v>
      </c>
      <c r="N127" s="34"/>
      <c r="O127" s="56">
        <f t="shared" si="72"/>
        <v>50</v>
      </c>
      <c r="P127" s="56">
        <f t="shared" si="73"/>
        <v>30</v>
      </c>
      <c r="Q127" s="56">
        <f>'Lab Component'!K127</f>
        <v>20</v>
      </c>
      <c r="R127" s="56">
        <f t="shared" si="74"/>
        <v>50</v>
      </c>
      <c r="S127" s="56">
        <f t="shared" si="75"/>
        <v>50</v>
      </c>
      <c r="T127" s="3">
        <v>38</v>
      </c>
    </row>
    <row r="128" spans="1:20">
      <c r="A128" s="4">
        <v>116</v>
      </c>
      <c r="B128" s="5" t="s">
        <v>256</v>
      </c>
      <c r="C128" s="13" t="s">
        <v>257</v>
      </c>
      <c r="D128" s="34">
        <v>23</v>
      </c>
      <c r="E128" s="49">
        <f t="shared" ref="E128:I128" si="126">((D128*30)/50)</f>
        <v>13.8</v>
      </c>
      <c r="F128" s="34">
        <v>20</v>
      </c>
      <c r="G128" s="49">
        <f t="shared" si="126"/>
        <v>12</v>
      </c>
      <c r="H128" s="34">
        <v>25</v>
      </c>
      <c r="I128" s="49">
        <f t="shared" si="126"/>
        <v>15</v>
      </c>
      <c r="J128" s="49">
        <f t="shared" si="70"/>
        <v>13.6</v>
      </c>
      <c r="K128" s="57">
        <v>30</v>
      </c>
      <c r="L128" s="54">
        <f t="shared" si="71"/>
        <v>10</v>
      </c>
      <c r="M128" s="34">
        <v>9</v>
      </c>
      <c r="N128" s="34"/>
      <c r="O128" s="56">
        <f t="shared" si="72"/>
        <v>32.6</v>
      </c>
      <c r="P128" s="56">
        <f t="shared" si="73"/>
        <v>19.56</v>
      </c>
      <c r="Q128" s="56">
        <f>'Lab Component'!K128</f>
        <v>19</v>
      </c>
      <c r="R128" s="56">
        <f t="shared" si="74"/>
        <v>38.56</v>
      </c>
      <c r="S128" s="56">
        <f t="shared" si="75"/>
        <v>39</v>
      </c>
      <c r="T128" s="3">
        <v>36</v>
      </c>
    </row>
    <row r="129" spans="1:20">
      <c r="A129" s="4">
        <v>117</v>
      </c>
      <c r="B129" s="5" t="s">
        <v>258</v>
      </c>
      <c r="C129" s="13" t="s">
        <v>259</v>
      </c>
      <c r="D129" s="34">
        <v>47</v>
      </c>
      <c r="E129" s="49">
        <f t="shared" ref="E129:I129" si="127">((D129*30)/50)</f>
        <v>28.2</v>
      </c>
      <c r="F129" s="34">
        <v>48</v>
      </c>
      <c r="G129" s="49">
        <f t="shared" si="127"/>
        <v>28.8</v>
      </c>
      <c r="H129" s="34">
        <v>50</v>
      </c>
      <c r="I129" s="49">
        <f t="shared" si="127"/>
        <v>30</v>
      </c>
      <c r="J129" s="49">
        <f t="shared" si="70"/>
        <v>29</v>
      </c>
      <c r="K129" s="34">
        <v>30</v>
      </c>
      <c r="L129" s="54">
        <f t="shared" si="71"/>
        <v>10</v>
      </c>
      <c r="M129" s="34">
        <v>10</v>
      </c>
      <c r="N129" s="34"/>
      <c r="O129" s="34">
        <f t="shared" si="72"/>
        <v>49</v>
      </c>
      <c r="P129" s="56">
        <f t="shared" si="73"/>
        <v>29.4</v>
      </c>
      <c r="Q129" s="56">
        <f>'Lab Component'!K129</f>
        <v>20</v>
      </c>
      <c r="R129" s="56">
        <f t="shared" si="74"/>
        <v>49.4</v>
      </c>
      <c r="S129" s="56">
        <f t="shared" si="75"/>
        <v>50</v>
      </c>
      <c r="T129" s="3">
        <v>38</v>
      </c>
    </row>
    <row r="130" spans="1:20">
      <c r="A130" s="4">
        <v>118</v>
      </c>
      <c r="B130" s="5" t="s">
        <v>260</v>
      </c>
      <c r="C130" s="13" t="s">
        <v>261</v>
      </c>
      <c r="D130" s="34">
        <v>50</v>
      </c>
      <c r="E130" s="49">
        <f t="shared" ref="E130:I130" si="128">((D130*30)/50)</f>
        <v>30</v>
      </c>
      <c r="F130" s="34">
        <v>50</v>
      </c>
      <c r="G130" s="49">
        <f t="shared" si="128"/>
        <v>30</v>
      </c>
      <c r="H130" s="34">
        <v>43</v>
      </c>
      <c r="I130" s="49">
        <f t="shared" si="128"/>
        <v>25.8</v>
      </c>
      <c r="J130" s="49">
        <f t="shared" si="70"/>
        <v>28.6</v>
      </c>
      <c r="K130" s="34">
        <v>30</v>
      </c>
      <c r="L130" s="54">
        <f t="shared" si="71"/>
        <v>10</v>
      </c>
      <c r="M130" s="34">
        <v>10</v>
      </c>
      <c r="N130" s="34"/>
      <c r="O130" s="34">
        <f t="shared" si="72"/>
        <v>48.6</v>
      </c>
      <c r="P130" s="56">
        <f t="shared" si="73"/>
        <v>29.16</v>
      </c>
      <c r="Q130" s="56">
        <f>'Lab Component'!K130</f>
        <v>19</v>
      </c>
      <c r="R130" s="56">
        <f t="shared" si="74"/>
        <v>48.16</v>
      </c>
      <c r="S130" s="56">
        <f t="shared" si="75"/>
        <v>49</v>
      </c>
      <c r="T130" s="3">
        <v>37</v>
      </c>
    </row>
    <row r="131" spans="1:20">
      <c r="A131" s="4">
        <v>119</v>
      </c>
      <c r="B131" s="5" t="s">
        <v>262</v>
      </c>
      <c r="C131" s="13" t="s">
        <v>263</v>
      </c>
      <c r="D131" s="34">
        <v>47</v>
      </c>
      <c r="E131" s="49">
        <f t="shared" ref="E131:I131" si="129">((D131*30)/50)</f>
        <v>28.2</v>
      </c>
      <c r="F131" s="34">
        <v>50</v>
      </c>
      <c r="G131" s="49">
        <f t="shared" si="129"/>
        <v>30</v>
      </c>
      <c r="H131" s="34">
        <v>50</v>
      </c>
      <c r="I131" s="49">
        <f t="shared" si="129"/>
        <v>30</v>
      </c>
      <c r="J131" s="49">
        <f t="shared" si="70"/>
        <v>29.4</v>
      </c>
      <c r="K131" s="34">
        <v>30</v>
      </c>
      <c r="L131" s="54">
        <f t="shared" si="71"/>
        <v>10</v>
      </c>
      <c r="M131" s="34">
        <v>8.5</v>
      </c>
      <c r="N131" s="34"/>
      <c r="O131" s="56">
        <f t="shared" si="72"/>
        <v>47.9</v>
      </c>
      <c r="P131" s="56">
        <f t="shared" si="73"/>
        <v>28.74</v>
      </c>
      <c r="Q131" s="56">
        <f>'Lab Component'!K131</f>
        <v>20</v>
      </c>
      <c r="R131" s="56">
        <f t="shared" si="74"/>
        <v>48.74</v>
      </c>
      <c r="S131" s="56">
        <f t="shared" si="75"/>
        <v>49</v>
      </c>
      <c r="T131" s="3">
        <v>37</v>
      </c>
    </row>
    <row r="132" spans="1:20">
      <c r="A132" s="4">
        <v>120</v>
      </c>
      <c r="B132" s="5" t="s">
        <v>264</v>
      </c>
      <c r="C132" s="13" t="s">
        <v>265</v>
      </c>
      <c r="D132" s="34">
        <v>50</v>
      </c>
      <c r="E132" s="49">
        <f t="shared" ref="E132:I132" si="130">((D132*30)/50)</f>
        <v>30</v>
      </c>
      <c r="F132" s="34">
        <v>50</v>
      </c>
      <c r="G132" s="49">
        <f t="shared" si="130"/>
        <v>30</v>
      </c>
      <c r="H132" s="34">
        <v>50</v>
      </c>
      <c r="I132" s="49">
        <f t="shared" si="130"/>
        <v>30</v>
      </c>
      <c r="J132" s="49">
        <f t="shared" si="70"/>
        <v>30</v>
      </c>
      <c r="K132" s="34">
        <v>30</v>
      </c>
      <c r="L132" s="54">
        <f t="shared" si="71"/>
        <v>10</v>
      </c>
      <c r="M132" s="34">
        <v>10</v>
      </c>
      <c r="N132" s="34"/>
      <c r="O132" s="56">
        <f t="shared" si="72"/>
        <v>50</v>
      </c>
      <c r="P132" s="56">
        <f t="shared" si="73"/>
        <v>30</v>
      </c>
      <c r="Q132" s="56">
        <f>'Lab Component'!K132</f>
        <v>20</v>
      </c>
      <c r="R132" s="56">
        <f t="shared" si="74"/>
        <v>50</v>
      </c>
      <c r="S132" s="56">
        <f t="shared" si="75"/>
        <v>50</v>
      </c>
      <c r="T132" s="3">
        <v>37</v>
      </c>
    </row>
    <row r="133" spans="1:20">
      <c r="A133" s="4">
        <v>121</v>
      </c>
      <c r="B133" s="5" t="s">
        <v>266</v>
      </c>
      <c r="C133" s="13" t="s">
        <v>267</v>
      </c>
      <c r="D133" s="34">
        <v>44</v>
      </c>
      <c r="E133" s="49">
        <f t="shared" ref="E133:I133" si="131">((D133*30)/50)</f>
        <v>26.4</v>
      </c>
      <c r="F133" s="34">
        <v>42</v>
      </c>
      <c r="G133" s="49">
        <f t="shared" si="131"/>
        <v>25.2</v>
      </c>
      <c r="H133" s="34">
        <v>44</v>
      </c>
      <c r="I133" s="49">
        <f t="shared" si="131"/>
        <v>26.4</v>
      </c>
      <c r="J133" s="49">
        <f t="shared" si="70"/>
        <v>26</v>
      </c>
      <c r="K133" s="34">
        <v>30</v>
      </c>
      <c r="L133" s="54">
        <f t="shared" si="71"/>
        <v>10</v>
      </c>
      <c r="M133" s="34">
        <v>9.5</v>
      </c>
      <c r="N133" s="34"/>
      <c r="O133" s="56">
        <f t="shared" si="72"/>
        <v>45.5</v>
      </c>
      <c r="P133" s="56">
        <f t="shared" si="73"/>
        <v>27.3</v>
      </c>
      <c r="Q133" s="56">
        <f>'Lab Component'!K133</f>
        <v>19</v>
      </c>
      <c r="R133" s="56">
        <f t="shared" si="74"/>
        <v>46.3</v>
      </c>
      <c r="S133" s="56">
        <f t="shared" si="75"/>
        <v>47</v>
      </c>
      <c r="T133" s="3">
        <v>38</v>
      </c>
    </row>
    <row r="134" spans="1:20">
      <c r="A134" s="4">
        <v>122</v>
      </c>
      <c r="B134" s="5" t="s">
        <v>268</v>
      </c>
      <c r="C134" s="13" t="s">
        <v>269</v>
      </c>
      <c r="D134" s="34">
        <v>41</v>
      </c>
      <c r="E134" s="49">
        <f t="shared" ref="E134:I134" si="132">((D134*30)/50)</f>
        <v>24.6</v>
      </c>
      <c r="F134" s="34">
        <v>43</v>
      </c>
      <c r="G134" s="49">
        <f t="shared" si="132"/>
        <v>25.8</v>
      </c>
      <c r="H134" s="34">
        <v>40</v>
      </c>
      <c r="I134" s="49">
        <f t="shared" si="132"/>
        <v>24</v>
      </c>
      <c r="J134" s="49">
        <f t="shared" si="70"/>
        <v>24.8</v>
      </c>
      <c r="K134" s="34">
        <v>30</v>
      </c>
      <c r="L134" s="54">
        <f t="shared" si="71"/>
        <v>10</v>
      </c>
      <c r="M134" s="34">
        <v>9.5</v>
      </c>
      <c r="N134" s="34"/>
      <c r="O134" s="56">
        <f t="shared" si="72"/>
        <v>44.3</v>
      </c>
      <c r="P134" s="56">
        <f t="shared" si="73"/>
        <v>26.58</v>
      </c>
      <c r="Q134" s="56">
        <f>'Lab Component'!K134</f>
        <v>20</v>
      </c>
      <c r="R134" s="56">
        <f t="shared" si="74"/>
        <v>46.58</v>
      </c>
      <c r="S134" s="56">
        <f t="shared" si="75"/>
        <v>47</v>
      </c>
      <c r="T134" s="3">
        <v>36</v>
      </c>
    </row>
    <row r="135" spans="1:20">
      <c r="A135" s="4">
        <v>123</v>
      </c>
      <c r="B135" s="5" t="s">
        <v>270</v>
      </c>
      <c r="C135" s="13" t="s">
        <v>271</v>
      </c>
      <c r="D135" s="34">
        <v>41</v>
      </c>
      <c r="E135" s="49">
        <f t="shared" ref="E135:I135" si="133">((D135*30)/50)</f>
        <v>24.6</v>
      </c>
      <c r="F135" s="34">
        <v>42</v>
      </c>
      <c r="G135" s="49">
        <f t="shared" si="133"/>
        <v>25.2</v>
      </c>
      <c r="H135" s="34">
        <v>47</v>
      </c>
      <c r="I135" s="49">
        <f t="shared" si="133"/>
        <v>28.2</v>
      </c>
      <c r="J135" s="49">
        <f t="shared" si="70"/>
        <v>26</v>
      </c>
      <c r="K135" s="34">
        <v>30</v>
      </c>
      <c r="L135" s="54">
        <f t="shared" si="71"/>
        <v>10</v>
      </c>
      <c r="M135" s="34">
        <v>10</v>
      </c>
      <c r="N135" s="34"/>
      <c r="O135" s="56">
        <f t="shared" si="72"/>
        <v>46</v>
      </c>
      <c r="P135" s="56">
        <f t="shared" si="73"/>
        <v>27.6</v>
      </c>
      <c r="Q135" s="56">
        <f>'Lab Component'!K135</f>
        <v>19</v>
      </c>
      <c r="R135" s="56">
        <f t="shared" si="74"/>
        <v>46.6</v>
      </c>
      <c r="S135" s="56">
        <f t="shared" si="75"/>
        <v>47</v>
      </c>
      <c r="T135" s="3">
        <v>35</v>
      </c>
    </row>
    <row r="136" spans="1:20">
      <c r="A136" s="4">
        <v>124</v>
      </c>
      <c r="B136" s="5" t="s">
        <v>272</v>
      </c>
      <c r="C136" s="13" t="s">
        <v>273</v>
      </c>
      <c r="D136" s="34">
        <v>50</v>
      </c>
      <c r="E136" s="49">
        <f t="shared" ref="E136:I136" si="134">((D136*30)/50)</f>
        <v>30</v>
      </c>
      <c r="F136" s="34">
        <v>48</v>
      </c>
      <c r="G136" s="49">
        <f t="shared" si="134"/>
        <v>28.8</v>
      </c>
      <c r="H136" s="34">
        <v>50</v>
      </c>
      <c r="I136" s="49">
        <f t="shared" si="134"/>
        <v>30</v>
      </c>
      <c r="J136" s="49">
        <f t="shared" si="70"/>
        <v>29.6</v>
      </c>
      <c r="K136" s="34">
        <v>30</v>
      </c>
      <c r="L136" s="54">
        <f t="shared" si="71"/>
        <v>10</v>
      </c>
      <c r="M136" s="34">
        <v>9</v>
      </c>
      <c r="N136" s="34"/>
      <c r="O136" s="56">
        <f t="shared" si="72"/>
        <v>48.6</v>
      </c>
      <c r="P136" s="56">
        <f t="shared" si="73"/>
        <v>29.16</v>
      </c>
      <c r="Q136" s="56">
        <f>'Lab Component'!K136</f>
        <v>20</v>
      </c>
      <c r="R136" s="56">
        <f t="shared" si="74"/>
        <v>49.16</v>
      </c>
      <c r="S136" s="56">
        <f t="shared" si="75"/>
        <v>50</v>
      </c>
      <c r="T136" s="3">
        <v>38</v>
      </c>
    </row>
    <row r="137" spans="1:20">
      <c r="A137" s="4">
        <v>125</v>
      </c>
      <c r="B137" s="5" t="s">
        <v>274</v>
      </c>
      <c r="C137" s="13" t="s">
        <v>275</v>
      </c>
      <c r="D137" s="34">
        <v>41</v>
      </c>
      <c r="E137" s="49">
        <f t="shared" ref="E137:I137" si="135">((D137*30)/50)</f>
        <v>24.6</v>
      </c>
      <c r="F137" s="34">
        <v>39</v>
      </c>
      <c r="G137" s="49">
        <f t="shared" si="135"/>
        <v>23.4</v>
      </c>
      <c r="H137" s="34">
        <v>31</v>
      </c>
      <c r="I137" s="49">
        <f t="shared" si="135"/>
        <v>18.6</v>
      </c>
      <c r="J137" s="49">
        <f t="shared" si="70"/>
        <v>22.2</v>
      </c>
      <c r="K137" s="34">
        <v>30</v>
      </c>
      <c r="L137" s="54">
        <f t="shared" si="71"/>
        <v>10</v>
      </c>
      <c r="M137" s="34">
        <v>8.5</v>
      </c>
      <c r="N137" s="34"/>
      <c r="O137" s="56">
        <f t="shared" si="72"/>
        <v>40.7</v>
      </c>
      <c r="P137" s="56">
        <f t="shared" si="73"/>
        <v>24.42</v>
      </c>
      <c r="Q137" s="56">
        <f>'Lab Component'!K137</f>
        <v>12</v>
      </c>
      <c r="R137" s="56">
        <f t="shared" si="74"/>
        <v>36.42</v>
      </c>
      <c r="S137" s="56">
        <f t="shared" si="75"/>
        <v>37</v>
      </c>
      <c r="T137" s="3">
        <v>37</v>
      </c>
    </row>
    <row r="138" spans="1:20">
      <c r="A138" s="4">
        <v>126</v>
      </c>
      <c r="B138" s="5" t="s">
        <v>276</v>
      </c>
      <c r="C138" s="13" t="s">
        <v>277</v>
      </c>
      <c r="D138" s="34">
        <v>40</v>
      </c>
      <c r="E138" s="49">
        <f t="shared" ref="E138:I138" si="136">((D138*30)/50)</f>
        <v>24</v>
      </c>
      <c r="F138" s="34">
        <v>50</v>
      </c>
      <c r="G138" s="49">
        <f t="shared" si="136"/>
        <v>30</v>
      </c>
      <c r="H138" s="34">
        <v>40</v>
      </c>
      <c r="I138" s="49">
        <f t="shared" si="136"/>
        <v>24</v>
      </c>
      <c r="J138" s="49">
        <f t="shared" si="70"/>
        <v>26</v>
      </c>
      <c r="K138" s="34">
        <v>30</v>
      </c>
      <c r="L138" s="54">
        <f t="shared" si="71"/>
        <v>10</v>
      </c>
      <c r="M138" s="34">
        <v>10</v>
      </c>
      <c r="N138" s="34"/>
      <c r="O138" s="34">
        <f t="shared" si="72"/>
        <v>46</v>
      </c>
      <c r="P138" s="56">
        <f t="shared" si="73"/>
        <v>27.6</v>
      </c>
      <c r="Q138" s="56">
        <f>'Lab Component'!K138</f>
        <v>19</v>
      </c>
      <c r="R138" s="56">
        <f t="shared" si="74"/>
        <v>46.6</v>
      </c>
      <c r="S138" s="56">
        <f t="shared" si="75"/>
        <v>47</v>
      </c>
      <c r="T138" s="3">
        <v>38</v>
      </c>
    </row>
    <row r="139" spans="1:20">
      <c r="A139" s="4">
        <v>127</v>
      </c>
      <c r="B139" s="5" t="s">
        <v>278</v>
      </c>
      <c r="C139" s="13" t="s">
        <v>279</v>
      </c>
      <c r="D139" s="34">
        <v>45</v>
      </c>
      <c r="E139" s="49">
        <f t="shared" ref="E139:I139" si="137">((D139*30)/50)</f>
        <v>27</v>
      </c>
      <c r="F139" s="34">
        <v>26</v>
      </c>
      <c r="G139" s="49">
        <f t="shared" si="137"/>
        <v>15.6</v>
      </c>
      <c r="H139" s="34">
        <v>37</v>
      </c>
      <c r="I139" s="49">
        <f t="shared" si="137"/>
        <v>22.2</v>
      </c>
      <c r="J139" s="49">
        <f t="shared" si="70"/>
        <v>21.6</v>
      </c>
      <c r="K139" s="57">
        <v>30</v>
      </c>
      <c r="L139" s="54">
        <f t="shared" si="71"/>
        <v>10</v>
      </c>
      <c r="M139" s="34">
        <v>10</v>
      </c>
      <c r="N139" s="34"/>
      <c r="O139" s="34">
        <f t="shared" si="72"/>
        <v>41.6</v>
      </c>
      <c r="P139" s="56">
        <f t="shared" si="73"/>
        <v>24.96</v>
      </c>
      <c r="Q139" s="56">
        <f>'Lab Component'!K139</f>
        <v>19</v>
      </c>
      <c r="R139" s="56">
        <f t="shared" si="74"/>
        <v>43.96</v>
      </c>
      <c r="S139" s="56">
        <f t="shared" si="75"/>
        <v>44</v>
      </c>
      <c r="T139" s="3">
        <v>38</v>
      </c>
    </row>
    <row r="140" spans="1:22">
      <c r="A140" s="4">
        <v>128</v>
      </c>
      <c r="B140" s="5" t="s">
        <v>280</v>
      </c>
      <c r="C140" s="13" t="s">
        <v>281</v>
      </c>
      <c r="D140" s="34">
        <v>35</v>
      </c>
      <c r="E140" s="49">
        <f t="shared" ref="E140:I140" si="138">((D140*30)/50)</f>
        <v>21</v>
      </c>
      <c r="F140" s="34">
        <v>42</v>
      </c>
      <c r="G140" s="49">
        <f t="shared" si="138"/>
        <v>25.2</v>
      </c>
      <c r="H140" s="34">
        <v>36</v>
      </c>
      <c r="I140" s="49">
        <f t="shared" si="138"/>
        <v>21.6</v>
      </c>
      <c r="J140" s="49">
        <f t="shared" si="70"/>
        <v>22.6</v>
      </c>
      <c r="K140" s="34">
        <v>30</v>
      </c>
      <c r="L140" s="54">
        <f t="shared" si="71"/>
        <v>10</v>
      </c>
      <c r="M140" s="34">
        <v>9</v>
      </c>
      <c r="N140" s="34">
        <f>SUM(L140:M140)</f>
        <v>19</v>
      </c>
      <c r="O140" s="56">
        <f t="shared" si="72"/>
        <v>41.6</v>
      </c>
      <c r="P140" s="56">
        <f t="shared" si="73"/>
        <v>24.96</v>
      </c>
      <c r="Q140" s="56">
        <f>'Lab Component'!K140</f>
        <v>19</v>
      </c>
      <c r="R140" s="56">
        <f t="shared" si="74"/>
        <v>43.96</v>
      </c>
      <c r="S140" s="56">
        <f t="shared" si="75"/>
        <v>44</v>
      </c>
      <c r="T140" s="3">
        <v>36</v>
      </c>
      <c r="U140" s="60">
        <v>11</v>
      </c>
      <c r="V140">
        <f t="shared" ref="V140:V201" si="139">SUM(T140:U140)</f>
        <v>47</v>
      </c>
    </row>
    <row r="141" spans="1:22">
      <c r="A141" s="4">
        <v>129</v>
      </c>
      <c r="B141" s="5" t="s">
        <v>282</v>
      </c>
      <c r="C141" s="13" t="s">
        <v>283</v>
      </c>
      <c r="D141" s="34">
        <v>44</v>
      </c>
      <c r="E141" s="49">
        <f t="shared" ref="E141:I141" si="140">((D141*30)/50)</f>
        <v>26.4</v>
      </c>
      <c r="F141" s="34">
        <v>47</v>
      </c>
      <c r="G141" s="49">
        <f t="shared" si="140"/>
        <v>28.2</v>
      </c>
      <c r="H141" s="34">
        <v>48</v>
      </c>
      <c r="I141" s="49">
        <f t="shared" si="140"/>
        <v>28.8</v>
      </c>
      <c r="J141" s="49">
        <f t="shared" ref="J141:J204" si="141">((E141+G141+I141)/3)</f>
        <v>27.8</v>
      </c>
      <c r="K141" s="34">
        <v>30</v>
      </c>
      <c r="L141" s="54">
        <f t="shared" ref="L141:L204" si="142">((K141*10)/30)</f>
        <v>10</v>
      </c>
      <c r="M141" s="34">
        <v>10</v>
      </c>
      <c r="N141" s="34">
        <f t="shared" ref="N141:N172" si="143">SUM(L141:M141)</f>
        <v>20</v>
      </c>
      <c r="O141" s="56">
        <f t="shared" ref="O141:O204" si="144">SUM(J141,L141,M141)</f>
        <v>47.8</v>
      </c>
      <c r="P141" s="56">
        <f t="shared" ref="P141:P204" si="145">(O141/50)*30</f>
        <v>28.68</v>
      </c>
      <c r="Q141" s="56">
        <f>'Lab Component'!K141</f>
        <v>20</v>
      </c>
      <c r="R141" s="56">
        <f t="shared" ref="R141:R204" si="146">(P141+Q141)</f>
        <v>48.68</v>
      </c>
      <c r="S141" s="56">
        <f t="shared" ref="S141:S204" si="147">ROUNDUP(R141,0)</f>
        <v>49</v>
      </c>
      <c r="T141" s="3">
        <v>36</v>
      </c>
      <c r="U141" s="60">
        <v>11</v>
      </c>
      <c r="V141">
        <f t="shared" si="139"/>
        <v>47</v>
      </c>
    </row>
    <row r="142" ht="30" spans="1:22">
      <c r="A142" s="4">
        <v>130</v>
      </c>
      <c r="B142" s="5" t="s">
        <v>284</v>
      </c>
      <c r="C142" s="13" t="s">
        <v>285</v>
      </c>
      <c r="D142" s="34">
        <v>38</v>
      </c>
      <c r="E142" s="49">
        <f t="shared" ref="E142:I142" si="148">((D142*30)/50)</f>
        <v>22.8</v>
      </c>
      <c r="F142" s="34">
        <v>36</v>
      </c>
      <c r="G142" s="49">
        <f t="shared" si="148"/>
        <v>21.6</v>
      </c>
      <c r="H142" s="34">
        <v>42</v>
      </c>
      <c r="I142" s="49">
        <f t="shared" si="148"/>
        <v>25.2</v>
      </c>
      <c r="J142" s="49">
        <f t="shared" si="141"/>
        <v>23.2</v>
      </c>
      <c r="K142" s="34">
        <v>30</v>
      </c>
      <c r="L142" s="54">
        <f t="shared" si="142"/>
        <v>10</v>
      </c>
      <c r="M142" s="34">
        <v>8</v>
      </c>
      <c r="N142" s="34">
        <f t="shared" si="143"/>
        <v>18</v>
      </c>
      <c r="O142" s="56">
        <f t="shared" si="144"/>
        <v>41.2</v>
      </c>
      <c r="P142" s="56">
        <f t="shared" si="145"/>
        <v>24.72</v>
      </c>
      <c r="Q142" s="56">
        <f>'Lab Component'!K142</f>
        <v>19</v>
      </c>
      <c r="R142" s="56">
        <f t="shared" si="146"/>
        <v>43.72</v>
      </c>
      <c r="S142" s="56">
        <f t="shared" si="147"/>
        <v>44</v>
      </c>
      <c r="T142" s="3">
        <v>36</v>
      </c>
      <c r="U142" s="60">
        <v>11</v>
      </c>
      <c r="V142">
        <f t="shared" si="139"/>
        <v>47</v>
      </c>
    </row>
    <row r="143" spans="1:22">
      <c r="A143" s="4">
        <v>131</v>
      </c>
      <c r="B143" s="5" t="s">
        <v>286</v>
      </c>
      <c r="C143" s="13" t="s">
        <v>287</v>
      </c>
      <c r="D143" s="34">
        <v>29</v>
      </c>
      <c r="E143" s="49">
        <f t="shared" ref="E143:I143" si="149">((D143*30)/50)</f>
        <v>17.4</v>
      </c>
      <c r="F143" s="34">
        <v>0</v>
      </c>
      <c r="G143" s="49">
        <f t="shared" si="149"/>
        <v>0</v>
      </c>
      <c r="H143" s="34">
        <v>47</v>
      </c>
      <c r="I143" s="49">
        <f t="shared" si="149"/>
        <v>28.2</v>
      </c>
      <c r="J143" s="49">
        <f t="shared" si="141"/>
        <v>15.2</v>
      </c>
      <c r="K143" s="34">
        <v>30</v>
      </c>
      <c r="L143" s="54">
        <f t="shared" si="142"/>
        <v>10</v>
      </c>
      <c r="M143" s="34">
        <v>8</v>
      </c>
      <c r="N143" s="34">
        <f t="shared" si="143"/>
        <v>18</v>
      </c>
      <c r="O143" s="56">
        <f t="shared" si="144"/>
        <v>33.2</v>
      </c>
      <c r="P143" s="56">
        <f t="shared" si="145"/>
        <v>19.92</v>
      </c>
      <c r="Q143" s="56">
        <f>'Lab Component'!K143</f>
        <v>18</v>
      </c>
      <c r="R143" s="56">
        <f t="shared" si="146"/>
        <v>37.92</v>
      </c>
      <c r="S143" s="56">
        <f t="shared" si="147"/>
        <v>38</v>
      </c>
      <c r="T143" s="3">
        <v>36</v>
      </c>
      <c r="U143" s="60">
        <v>11</v>
      </c>
      <c r="V143">
        <f t="shared" si="139"/>
        <v>47</v>
      </c>
    </row>
    <row r="144" spans="1:22">
      <c r="A144" s="4">
        <v>132</v>
      </c>
      <c r="B144" s="5" t="s">
        <v>288</v>
      </c>
      <c r="C144" s="13" t="s">
        <v>289</v>
      </c>
      <c r="D144" s="34">
        <v>43</v>
      </c>
      <c r="E144" s="49">
        <f t="shared" ref="E144:I144" si="150">((D144*30)/50)</f>
        <v>25.8</v>
      </c>
      <c r="F144" s="34">
        <v>44</v>
      </c>
      <c r="G144" s="49">
        <f t="shared" si="150"/>
        <v>26.4</v>
      </c>
      <c r="H144" s="34">
        <v>38</v>
      </c>
      <c r="I144" s="49">
        <f t="shared" si="150"/>
        <v>22.8</v>
      </c>
      <c r="J144" s="49">
        <f t="shared" si="141"/>
        <v>25</v>
      </c>
      <c r="K144" s="34">
        <v>30</v>
      </c>
      <c r="L144" s="54">
        <f t="shared" si="142"/>
        <v>10</v>
      </c>
      <c r="M144" s="34">
        <v>8</v>
      </c>
      <c r="N144" s="34">
        <f t="shared" si="143"/>
        <v>18</v>
      </c>
      <c r="O144" s="56">
        <f t="shared" si="144"/>
        <v>43</v>
      </c>
      <c r="P144" s="56">
        <f t="shared" si="145"/>
        <v>25.8</v>
      </c>
      <c r="Q144" s="56">
        <f>'Lab Component'!K144</f>
        <v>20</v>
      </c>
      <c r="R144" s="56">
        <f t="shared" si="146"/>
        <v>45.8</v>
      </c>
      <c r="S144" s="56">
        <f t="shared" si="147"/>
        <v>46</v>
      </c>
      <c r="T144" s="3">
        <v>36</v>
      </c>
      <c r="U144" s="60">
        <v>11</v>
      </c>
      <c r="V144">
        <f t="shared" si="139"/>
        <v>47</v>
      </c>
    </row>
    <row r="145" spans="1:22">
      <c r="A145" s="4">
        <v>133</v>
      </c>
      <c r="B145" s="5" t="s">
        <v>290</v>
      </c>
      <c r="C145" s="13" t="s">
        <v>291</v>
      </c>
      <c r="D145" s="34">
        <v>0</v>
      </c>
      <c r="E145" s="49">
        <f t="shared" ref="E145:I145" si="151">((D145*30)/50)</f>
        <v>0</v>
      </c>
      <c r="F145" s="34">
        <v>29</v>
      </c>
      <c r="G145" s="49">
        <f t="shared" si="151"/>
        <v>17.4</v>
      </c>
      <c r="H145" s="34">
        <v>0</v>
      </c>
      <c r="I145" s="49">
        <f t="shared" si="151"/>
        <v>0</v>
      </c>
      <c r="J145" s="49">
        <f t="shared" si="141"/>
        <v>5.8</v>
      </c>
      <c r="K145" s="34">
        <v>0</v>
      </c>
      <c r="L145" s="54">
        <f t="shared" si="142"/>
        <v>0</v>
      </c>
      <c r="M145" s="34">
        <v>0</v>
      </c>
      <c r="N145" s="34">
        <f t="shared" si="143"/>
        <v>0</v>
      </c>
      <c r="O145" s="56">
        <f t="shared" si="144"/>
        <v>5.8</v>
      </c>
      <c r="P145" s="56">
        <f t="shared" si="145"/>
        <v>3.48</v>
      </c>
      <c r="Q145" s="56">
        <f>'Lab Component'!K145</f>
        <v>0</v>
      </c>
      <c r="R145" s="56">
        <f t="shared" si="146"/>
        <v>3.48</v>
      </c>
      <c r="S145" s="56">
        <f t="shared" si="147"/>
        <v>4</v>
      </c>
      <c r="T145" s="3">
        <v>0</v>
      </c>
      <c r="U145" s="60">
        <v>0</v>
      </c>
      <c r="V145">
        <f t="shared" si="139"/>
        <v>0</v>
      </c>
    </row>
    <row r="146" ht="30" spans="1:22">
      <c r="A146" s="4">
        <v>134</v>
      </c>
      <c r="B146" s="5" t="s">
        <v>292</v>
      </c>
      <c r="C146" s="13" t="s">
        <v>293</v>
      </c>
      <c r="D146" s="34">
        <v>21</v>
      </c>
      <c r="E146" s="49">
        <f t="shared" ref="E146:I146" si="152">((D146*30)/50)</f>
        <v>12.6</v>
      </c>
      <c r="F146" s="34">
        <v>0</v>
      </c>
      <c r="G146" s="49">
        <f t="shared" si="152"/>
        <v>0</v>
      </c>
      <c r="H146" s="34">
        <v>47</v>
      </c>
      <c r="I146" s="49">
        <f t="shared" si="152"/>
        <v>28.2</v>
      </c>
      <c r="J146" s="49">
        <f t="shared" si="141"/>
        <v>13.6</v>
      </c>
      <c r="K146" s="34">
        <v>30</v>
      </c>
      <c r="L146" s="54">
        <f t="shared" si="142"/>
        <v>10</v>
      </c>
      <c r="M146" s="34">
        <v>8</v>
      </c>
      <c r="N146" s="34">
        <f t="shared" si="143"/>
        <v>18</v>
      </c>
      <c r="O146" s="56">
        <f t="shared" si="144"/>
        <v>31.6</v>
      </c>
      <c r="P146" s="56">
        <f t="shared" si="145"/>
        <v>18.96</v>
      </c>
      <c r="Q146" s="56">
        <f>'Lab Component'!K146</f>
        <v>18</v>
      </c>
      <c r="R146" s="56">
        <f t="shared" si="146"/>
        <v>36.96</v>
      </c>
      <c r="S146" s="56">
        <f t="shared" si="147"/>
        <v>37</v>
      </c>
      <c r="T146" s="3">
        <v>36</v>
      </c>
      <c r="U146" s="60">
        <v>11</v>
      </c>
      <c r="V146">
        <f t="shared" si="139"/>
        <v>47</v>
      </c>
    </row>
    <row r="147" spans="1:22">
      <c r="A147" s="4" t="s">
        <v>294</v>
      </c>
      <c r="B147" s="5" t="s">
        <v>295</v>
      </c>
      <c r="C147" s="13" t="s">
        <v>296</v>
      </c>
      <c r="D147" s="34">
        <v>34</v>
      </c>
      <c r="E147" s="49">
        <f t="shared" ref="E147:I147" si="153">((D147*30)/50)</f>
        <v>20.4</v>
      </c>
      <c r="F147" s="34">
        <v>30</v>
      </c>
      <c r="G147" s="49">
        <f t="shared" si="153"/>
        <v>18</v>
      </c>
      <c r="H147" s="34">
        <v>37</v>
      </c>
      <c r="I147" s="49">
        <f t="shared" si="153"/>
        <v>22.2</v>
      </c>
      <c r="J147" s="49">
        <f t="shared" si="141"/>
        <v>20.2</v>
      </c>
      <c r="K147" s="34">
        <v>30</v>
      </c>
      <c r="L147" s="54">
        <f t="shared" si="142"/>
        <v>10</v>
      </c>
      <c r="M147" s="34">
        <v>8</v>
      </c>
      <c r="N147" s="34">
        <f t="shared" si="143"/>
        <v>18</v>
      </c>
      <c r="O147" s="34">
        <f t="shared" si="144"/>
        <v>38.2</v>
      </c>
      <c r="P147" s="56">
        <f t="shared" si="145"/>
        <v>22.92</v>
      </c>
      <c r="Q147" s="56">
        <f>'Lab Component'!K147</f>
        <v>19</v>
      </c>
      <c r="R147" s="56">
        <f t="shared" si="146"/>
        <v>41.92</v>
      </c>
      <c r="S147" s="56">
        <f t="shared" si="147"/>
        <v>42</v>
      </c>
      <c r="T147" s="3">
        <v>37</v>
      </c>
      <c r="U147" s="60">
        <v>11</v>
      </c>
      <c r="V147">
        <f t="shared" si="139"/>
        <v>48</v>
      </c>
    </row>
    <row r="148" spans="1:22">
      <c r="A148" s="4">
        <v>136</v>
      </c>
      <c r="B148" s="5" t="s">
        <v>297</v>
      </c>
      <c r="C148" s="13" t="s">
        <v>298</v>
      </c>
      <c r="D148" s="34">
        <v>40</v>
      </c>
      <c r="E148" s="49">
        <f t="shared" ref="E148:I148" si="154">((D148*30)/50)</f>
        <v>24</v>
      </c>
      <c r="F148" s="34">
        <v>40</v>
      </c>
      <c r="G148" s="49">
        <f t="shared" si="154"/>
        <v>24</v>
      </c>
      <c r="H148" s="34">
        <v>38</v>
      </c>
      <c r="I148" s="49">
        <f t="shared" si="154"/>
        <v>22.8</v>
      </c>
      <c r="J148" s="49">
        <f t="shared" si="141"/>
        <v>23.6</v>
      </c>
      <c r="K148" s="34">
        <v>30</v>
      </c>
      <c r="L148" s="54">
        <f t="shared" si="142"/>
        <v>10</v>
      </c>
      <c r="M148" s="34">
        <v>9</v>
      </c>
      <c r="N148" s="34">
        <f t="shared" si="143"/>
        <v>19</v>
      </c>
      <c r="O148" s="34">
        <f t="shared" si="144"/>
        <v>42.6</v>
      </c>
      <c r="P148" s="56">
        <f t="shared" si="145"/>
        <v>25.56</v>
      </c>
      <c r="Q148" s="56">
        <f>'Lab Component'!K148</f>
        <v>19</v>
      </c>
      <c r="R148" s="56">
        <f t="shared" si="146"/>
        <v>44.56</v>
      </c>
      <c r="S148" s="56">
        <f t="shared" si="147"/>
        <v>45</v>
      </c>
      <c r="T148" s="3">
        <v>36</v>
      </c>
      <c r="U148" s="60">
        <v>11</v>
      </c>
      <c r="V148">
        <f t="shared" si="139"/>
        <v>47</v>
      </c>
    </row>
    <row r="149" spans="1:22">
      <c r="A149" s="4">
        <v>137</v>
      </c>
      <c r="B149" s="5" t="s">
        <v>299</v>
      </c>
      <c r="C149" s="13" t="s">
        <v>300</v>
      </c>
      <c r="D149" s="34">
        <v>46</v>
      </c>
      <c r="E149" s="49">
        <f t="shared" ref="E149:I149" si="155">((D149*30)/50)</f>
        <v>27.6</v>
      </c>
      <c r="F149" s="34">
        <v>42</v>
      </c>
      <c r="G149" s="49">
        <f t="shared" si="155"/>
        <v>25.2</v>
      </c>
      <c r="H149" s="34">
        <v>46</v>
      </c>
      <c r="I149" s="49">
        <f t="shared" si="155"/>
        <v>27.6</v>
      </c>
      <c r="J149" s="49">
        <f t="shared" si="141"/>
        <v>26.8</v>
      </c>
      <c r="K149" s="34">
        <v>30</v>
      </c>
      <c r="L149" s="54">
        <f t="shared" si="142"/>
        <v>10</v>
      </c>
      <c r="M149" s="34">
        <v>10</v>
      </c>
      <c r="N149" s="34">
        <f t="shared" si="143"/>
        <v>20</v>
      </c>
      <c r="O149" s="56">
        <f t="shared" si="144"/>
        <v>46.8</v>
      </c>
      <c r="P149" s="56">
        <f t="shared" si="145"/>
        <v>28.08</v>
      </c>
      <c r="Q149" s="56">
        <f>'Lab Component'!K149</f>
        <v>20</v>
      </c>
      <c r="R149" s="56">
        <f t="shared" si="146"/>
        <v>48.08</v>
      </c>
      <c r="S149" s="56">
        <f t="shared" si="147"/>
        <v>49</v>
      </c>
      <c r="T149" s="3">
        <v>37</v>
      </c>
      <c r="U149" s="60">
        <v>11</v>
      </c>
      <c r="V149">
        <f t="shared" si="139"/>
        <v>48</v>
      </c>
    </row>
    <row r="150" spans="1:22">
      <c r="A150" s="4">
        <v>138</v>
      </c>
      <c r="B150" s="5" t="s">
        <v>301</v>
      </c>
      <c r="C150" s="13" t="s">
        <v>302</v>
      </c>
      <c r="D150" s="34">
        <v>42</v>
      </c>
      <c r="E150" s="49">
        <f t="shared" ref="E150:I150" si="156">((D150*30)/50)</f>
        <v>25.2</v>
      </c>
      <c r="F150" s="34">
        <v>46</v>
      </c>
      <c r="G150" s="49">
        <f t="shared" si="156"/>
        <v>27.6</v>
      </c>
      <c r="H150" s="34">
        <v>39</v>
      </c>
      <c r="I150" s="49">
        <f t="shared" si="156"/>
        <v>23.4</v>
      </c>
      <c r="J150" s="49">
        <f t="shared" si="141"/>
        <v>25.4</v>
      </c>
      <c r="K150" s="34">
        <v>30</v>
      </c>
      <c r="L150" s="54">
        <f t="shared" si="142"/>
        <v>10</v>
      </c>
      <c r="M150" s="34">
        <v>10</v>
      </c>
      <c r="N150" s="34">
        <f t="shared" si="143"/>
        <v>20</v>
      </c>
      <c r="O150" s="56">
        <f t="shared" si="144"/>
        <v>45.4</v>
      </c>
      <c r="P150" s="56">
        <f t="shared" si="145"/>
        <v>27.24</v>
      </c>
      <c r="Q150" s="56">
        <f>'Lab Component'!K150</f>
        <v>20</v>
      </c>
      <c r="R150" s="56">
        <f t="shared" si="146"/>
        <v>47.24</v>
      </c>
      <c r="S150" s="56">
        <f t="shared" si="147"/>
        <v>48</v>
      </c>
      <c r="T150" s="3">
        <v>38</v>
      </c>
      <c r="U150" s="60">
        <v>12</v>
      </c>
      <c r="V150">
        <f t="shared" si="139"/>
        <v>50</v>
      </c>
    </row>
    <row r="151" spans="1:22">
      <c r="A151" s="4">
        <v>139</v>
      </c>
      <c r="B151" s="5" t="s">
        <v>303</v>
      </c>
      <c r="C151" s="13" t="s">
        <v>304</v>
      </c>
      <c r="D151" s="34">
        <v>34</v>
      </c>
      <c r="E151" s="49">
        <f t="shared" ref="E151:I151" si="157">((D151*30)/50)</f>
        <v>20.4</v>
      </c>
      <c r="F151" s="34">
        <v>40</v>
      </c>
      <c r="G151" s="49">
        <f t="shared" si="157"/>
        <v>24</v>
      </c>
      <c r="H151" s="34">
        <v>42</v>
      </c>
      <c r="I151" s="49">
        <f t="shared" si="157"/>
        <v>25.2</v>
      </c>
      <c r="J151" s="49">
        <f t="shared" si="141"/>
        <v>23.2</v>
      </c>
      <c r="K151" s="34">
        <v>30</v>
      </c>
      <c r="L151" s="54">
        <f t="shared" si="142"/>
        <v>10</v>
      </c>
      <c r="M151" s="34">
        <v>8</v>
      </c>
      <c r="N151" s="34">
        <f t="shared" si="143"/>
        <v>18</v>
      </c>
      <c r="O151" s="56">
        <f t="shared" si="144"/>
        <v>41.2</v>
      </c>
      <c r="P151" s="56">
        <f t="shared" si="145"/>
        <v>24.72</v>
      </c>
      <c r="Q151" s="56">
        <f>'Lab Component'!K151</f>
        <v>18</v>
      </c>
      <c r="R151" s="56">
        <f t="shared" si="146"/>
        <v>42.72</v>
      </c>
      <c r="S151" s="56">
        <f t="shared" si="147"/>
        <v>43</v>
      </c>
      <c r="T151" s="3">
        <v>40</v>
      </c>
      <c r="U151" s="60">
        <v>11</v>
      </c>
      <c r="V151">
        <f t="shared" si="139"/>
        <v>51</v>
      </c>
    </row>
    <row r="152" spans="1:22">
      <c r="A152" s="4">
        <v>140</v>
      </c>
      <c r="B152" s="5" t="s">
        <v>305</v>
      </c>
      <c r="C152" s="13" t="s">
        <v>306</v>
      </c>
      <c r="D152" s="34">
        <v>42</v>
      </c>
      <c r="E152" s="49">
        <f t="shared" ref="E152:I152" si="158">((D152*30)/50)</f>
        <v>25.2</v>
      </c>
      <c r="F152" s="34">
        <v>50</v>
      </c>
      <c r="G152" s="49">
        <f t="shared" si="158"/>
        <v>30</v>
      </c>
      <c r="H152" s="34">
        <v>47</v>
      </c>
      <c r="I152" s="49">
        <f t="shared" si="158"/>
        <v>28.2</v>
      </c>
      <c r="J152" s="49">
        <f t="shared" si="141"/>
        <v>27.8</v>
      </c>
      <c r="K152" s="34">
        <v>30</v>
      </c>
      <c r="L152" s="54">
        <f t="shared" si="142"/>
        <v>10</v>
      </c>
      <c r="M152" s="34">
        <v>10</v>
      </c>
      <c r="N152" s="34">
        <f t="shared" si="143"/>
        <v>20</v>
      </c>
      <c r="O152" s="56">
        <f t="shared" si="144"/>
        <v>47.8</v>
      </c>
      <c r="P152" s="56">
        <f t="shared" si="145"/>
        <v>28.68</v>
      </c>
      <c r="Q152" s="56">
        <f>'Lab Component'!K152</f>
        <v>19</v>
      </c>
      <c r="R152" s="56">
        <f t="shared" si="146"/>
        <v>47.68</v>
      </c>
      <c r="S152" s="56">
        <f t="shared" si="147"/>
        <v>48</v>
      </c>
      <c r="T152" s="3">
        <v>39</v>
      </c>
      <c r="U152" s="60">
        <v>11</v>
      </c>
      <c r="V152">
        <f t="shared" si="139"/>
        <v>50</v>
      </c>
    </row>
    <row r="153" spans="1:22">
      <c r="A153" s="4">
        <v>141</v>
      </c>
      <c r="B153" s="5" t="s">
        <v>307</v>
      </c>
      <c r="C153" s="13" t="s">
        <v>308</v>
      </c>
      <c r="D153" s="34">
        <v>48</v>
      </c>
      <c r="E153" s="49">
        <f t="shared" ref="E153:I153" si="159">((D153*30)/50)</f>
        <v>28.8</v>
      </c>
      <c r="F153" s="34">
        <v>50</v>
      </c>
      <c r="G153" s="49">
        <f t="shared" si="159"/>
        <v>30</v>
      </c>
      <c r="H153" s="34">
        <v>47</v>
      </c>
      <c r="I153" s="49">
        <f t="shared" si="159"/>
        <v>28.2</v>
      </c>
      <c r="J153" s="49">
        <f t="shared" si="141"/>
        <v>29</v>
      </c>
      <c r="K153" s="34">
        <v>30</v>
      </c>
      <c r="L153" s="54">
        <f t="shared" si="142"/>
        <v>10</v>
      </c>
      <c r="M153" s="34">
        <v>10</v>
      </c>
      <c r="N153" s="34">
        <f t="shared" si="143"/>
        <v>20</v>
      </c>
      <c r="O153" s="56">
        <f t="shared" si="144"/>
        <v>49</v>
      </c>
      <c r="P153" s="56">
        <f t="shared" si="145"/>
        <v>29.4</v>
      </c>
      <c r="Q153" s="56">
        <f>'Lab Component'!K153</f>
        <v>19</v>
      </c>
      <c r="R153" s="56">
        <f t="shared" si="146"/>
        <v>48.4</v>
      </c>
      <c r="S153" s="56">
        <f t="shared" si="147"/>
        <v>49</v>
      </c>
      <c r="T153" s="3">
        <v>38</v>
      </c>
      <c r="U153" s="60">
        <v>11</v>
      </c>
      <c r="V153">
        <f t="shared" si="139"/>
        <v>49</v>
      </c>
    </row>
    <row r="154" spans="1:22">
      <c r="A154" s="4">
        <v>142</v>
      </c>
      <c r="B154" s="5" t="s">
        <v>309</v>
      </c>
      <c r="C154" s="13" t="s">
        <v>310</v>
      </c>
      <c r="D154" s="34">
        <v>43</v>
      </c>
      <c r="E154" s="49">
        <f t="shared" ref="E154:I154" si="160">((D154*30)/50)</f>
        <v>25.8</v>
      </c>
      <c r="F154" s="34">
        <v>49</v>
      </c>
      <c r="G154" s="49">
        <f t="shared" si="160"/>
        <v>29.4</v>
      </c>
      <c r="H154" s="34">
        <v>43</v>
      </c>
      <c r="I154" s="49">
        <f t="shared" si="160"/>
        <v>25.8</v>
      </c>
      <c r="J154" s="49">
        <f t="shared" si="141"/>
        <v>27</v>
      </c>
      <c r="K154" s="34">
        <v>30</v>
      </c>
      <c r="L154" s="54">
        <f t="shared" si="142"/>
        <v>10</v>
      </c>
      <c r="M154" s="34">
        <v>10</v>
      </c>
      <c r="N154" s="34">
        <f t="shared" si="143"/>
        <v>20</v>
      </c>
      <c r="O154" s="56">
        <f t="shared" si="144"/>
        <v>47</v>
      </c>
      <c r="P154" s="56">
        <f t="shared" si="145"/>
        <v>28.2</v>
      </c>
      <c r="Q154" s="56">
        <f>'Lab Component'!K154</f>
        <v>20</v>
      </c>
      <c r="R154" s="56">
        <f t="shared" si="146"/>
        <v>48.2</v>
      </c>
      <c r="S154" s="56">
        <f t="shared" si="147"/>
        <v>49</v>
      </c>
      <c r="T154" s="3">
        <v>36</v>
      </c>
      <c r="U154" s="60">
        <v>11</v>
      </c>
      <c r="V154">
        <f t="shared" si="139"/>
        <v>47</v>
      </c>
    </row>
    <row r="155" spans="1:22">
      <c r="A155" s="4">
        <v>143</v>
      </c>
      <c r="B155" s="5" t="s">
        <v>311</v>
      </c>
      <c r="C155" s="13" t="s">
        <v>312</v>
      </c>
      <c r="D155" s="34">
        <v>43</v>
      </c>
      <c r="E155" s="49">
        <f t="shared" ref="E155:I155" si="161">((D155*30)/50)</f>
        <v>25.8</v>
      </c>
      <c r="F155" s="34">
        <v>47</v>
      </c>
      <c r="G155" s="49">
        <f t="shared" si="161"/>
        <v>28.2</v>
      </c>
      <c r="H155" s="34">
        <v>48</v>
      </c>
      <c r="I155" s="49">
        <f t="shared" si="161"/>
        <v>28.8</v>
      </c>
      <c r="J155" s="49">
        <f t="shared" si="141"/>
        <v>27.6</v>
      </c>
      <c r="K155" s="34">
        <v>30</v>
      </c>
      <c r="L155" s="54">
        <f t="shared" si="142"/>
        <v>10</v>
      </c>
      <c r="M155" s="34">
        <v>9</v>
      </c>
      <c r="N155" s="34">
        <f t="shared" si="143"/>
        <v>19</v>
      </c>
      <c r="O155" s="56">
        <f t="shared" si="144"/>
        <v>46.6</v>
      </c>
      <c r="P155" s="56">
        <f t="shared" si="145"/>
        <v>27.96</v>
      </c>
      <c r="Q155" s="56">
        <f>'Lab Component'!K155</f>
        <v>19</v>
      </c>
      <c r="R155" s="56">
        <f t="shared" si="146"/>
        <v>46.96</v>
      </c>
      <c r="S155" s="56">
        <f t="shared" si="147"/>
        <v>47</v>
      </c>
      <c r="T155" s="3">
        <v>36</v>
      </c>
      <c r="U155" s="60">
        <v>11</v>
      </c>
      <c r="V155">
        <f t="shared" si="139"/>
        <v>47</v>
      </c>
    </row>
    <row r="156" spans="1:22">
      <c r="A156" s="4">
        <v>144</v>
      </c>
      <c r="B156" s="5" t="s">
        <v>313</v>
      </c>
      <c r="C156" s="13" t="s">
        <v>314</v>
      </c>
      <c r="D156" s="34">
        <v>43</v>
      </c>
      <c r="E156" s="49">
        <f t="shared" ref="E156:I156" si="162">((D156*30)/50)</f>
        <v>25.8</v>
      </c>
      <c r="F156" s="34">
        <v>47</v>
      </c>
      <c r="G156" s="49">
        <f t="shared" si="162"/>
        <v>28.2</v>
      </c>
      <c r="H156" s="34">
        <v>47</v>
      </c>
      <c r="I156" s="49">
        <f t="shared" si="162"/>
        <v>28.2</v>
      </c>
      <c r="J156" s="49">
        <f t="shared" si="141"/>
        <v>27.4</v>
      </c>
      <c r="K156" s="34">
        <v>30</v>
      </c>
      <c r="L156" s="54">
        <f t="shared" si="142"/>
        <v>10</v>
      </c>
      <c r="M156" s="34">
        <v>10</v>
      </c>
      <c r="N156" s="34">
        <f t="shared" si="143"/>
        <v>20</v>
      </c>
      <c r="O156" s="34">
        <f t="shared" si="144"/>
        <v>47.4</v>
      </c>
      <c r="P156" s="56">
        <f t="shared" si="145"/>
        <v>28.44</v>
      </c>
      <c r="Q156" s="56">
        <f>'Lab Component'!K156</f>
        <v>19</v>
      </c>
      <c r="R156" s="56">
        <f t="shared" si="146"/>
        <v>47.44</v>
      </c>
      <c r="S156" s="56">
        <f t="shared" si="147"/>
        <v>48</v>
      </c>
      <c r="T156" s="3">
        <v>38</v>
      </c>
      <c r="U156" s="60">
        <v>11</v>
      </c>
      <c r="V156">
        <f t="shared" si="139"/>
        <v>49</v>
      </c>
    </row>
    <row r="157" spans="1:22">
      <c r="A157" s="4">
        <v>145</v>
      </c>
      <c r="B157" s="5" t="s">
        <v>315</v>
      </c>
      <c r="C157" s="13" t="s">
        <v>316</v>
      </c>
      <c r="D157" s="34">
        <v>42</v>
      </c>
      <c r="E157" s="49">
        <f t="shared" ref="E157:I157" si="163">((D157*30)/50)</f>
        <v>25.2</v>
      </c>
      <c r="F157" s="34">
        <v>46</v>
      </c>
      <c r="G157" s="49">
        <f t="shared" si="163"/>
        <v>27.6</v>
      </c>
      <c r="H157" s="34">
        <v>48</v>
      </c>
      <c r="I157" s="49">
        <f t="shared" si="163"/>
        <v>28.8</v>
      </c>
      <c r="J157" s="49">
        <f t="shared" si="141"/>
        <v>27.2</v>
      </c>
      <c r="K157" s="34">
        <v>30</v>
      </c>
      <c r="L157" s="54">
        <f t="shared" si="142"/>
        <v>10</v>
      </c>
      <c r="M157" s="34">
        <v>10</v>
      </c>
      <c r="N157" s="34">
        <f t="shared" si="143"/>
        <v>20</v>
      </c>
      <c r="O157" s="34">
        <f t="shared" si="144"/>
        <v>47.2</v>
      </c>
      <c r="P157" s="56">
        <f t="shared" si="145"/>
        <v>28.32</v>
      </c>
      <c r="Q157" s="56">
        <f>'Lab Component'!K157</f>
        <v>19</v>
      </c>
      <c r="R157" s="56">
        <f t="shared" si="146"/>
        <v>47.32</v>
      </c>
      <c r="S157" s="56">
        <f t="shared" si="147"/>
        <v>48</v>
      </c>
      <c r="T157" s="3">
        <v>38</v>
      </c>
      <c r="U157" s="60">
        <v>11</v>
      </c>
      <c r="V157">
        <f t="shared" si="139"/>
        <v>49</v>
      </c>
    </row>
    <row r="158" spans="1:22">
      <c r="A158" s="4">
        <v>146</v>
      </c>
      <c r="B158" s="5" t="s">
        <v>317</v>
      </c>
      <c r="C158" s="13" t="s">
        <v>318</v>
      </c>
      <c r="D158" s="34">
        <v>37</v>
      </c>
      <c r="E158" s="49">
        <f t="shared" ref="E158:I158" si="164">((D158*30)/50)</f>
        <v>22.2</v>
      </c>
      <c r="F158" s="34">
        <v>35</v>
      </c>
      <c r="G158" s="49">
        <f t="shared" si="164"/>
        <v>21</v>
      </c>
      <c r="H158" s="34">
        <v>39</v>
      </c>
      <c r="I158" s="49">
        <f t="shared" si="164"/>
        <v>23.4</v>
      </c>
      <c r="J158" s="49">
        <f t="shared" si="141"/>
        <v>22.2</v>
      </c>
      <c r="K158" s="34">
        <v>30</v>
      </c>
      <c r="L158" s="54">
        <f t="shared" si="142"/>
        <v>10</v>
      </c>
      <c r="M158" s="34">
        <v>8</v>
      </c>
      <c r="N158" s="34">
        <f t="shared" si="143"/>
        <v>18</v>
      </c>
      <c r="O158" s="56">
        <f t="shared" si="144"/>
        <v>40.2</v>
      </c>
      <c r="P158" s="56">
        <f t="shared" si="145"/>
        <v>24.12</v>
      </c>
      <c r="Q158" s="56">
        <f>'Lab Component'!K158</f>
        <v>18</v>
      </c>
      <c r="R158" s="56">
        <f t="shared" si="146"/>
        <v>42.12</v>
      </c>
      <c r="S158" s="56">
        <f t="shared" si="147"/>
        <v>43</v>
      </c>
      <c r="T158" s="3">
        <v>38</v>
      </c>
      <c r="U158" s="60">
        <v>12</v>
      </c>
      <c r="V158">
        <f t="shared" si="139"/>
        <v>50</v>
      </c>
    </row>
    <row r="159" spans="1:22">
      <c r="A159" s="4">
        <v>147</v>
      </c>
      <c r="B159" s="5" t="s">
        <v>319</v>
      </c>
      <c r="C159" s="13" t="s">
        <v>320</v>
      </c>
      <c r="D159" s="34">
        <v>45</v>
      </c>
      <c r="E159" s="49">
        <f t="shared" ref="E159:I159" si="165">((D159*30)/50)</f>
        <v>27</v>
      </c>
      <c r="F159" s="34">
        <v>45</v>
      </c>
      <c r="G159" s="49">
        <f t="shared" si="165"/>
        <v>27</v>
      </c>
      <c r="H159" s="34">
        <v>46</v>
      </c>
      <c r="I159" s="49">
        <f t="shared" si="165"/>
        <v>27.6</v>
      </c>
      <c r="J159" s="49">
        <f t="shared" si="141"/>
        <v>27.2</v>
      </c>
      <c r="K159" s="34">
        <v>30</v>
      </c>
      <c r="L159" s="54">
        <f t="shared" si="142"/>
        <v>10</v>
      </c>
      <c r="M159" s="34">
        <v>10</v>
      </c>
      <c r="N159" s="34">
        <f t="shared" si="143"/>
        <v>20</v>
      </c>
      <c r="O159" s="56">
        <f t="shared" si="144"/>
        <v>47.2</v>
      </c>
      <c r="P159" s="56">
        <f t="shared" si="145"/>
        <v>28.32</v>
      </c>
      <c r="Q159" s="56">
        <f>'Lab Component'!K159</f>
        <v>19</v>
      </c>
      <c r="R159" s="56">
        <f t="shared" si="146"/>
        <v>47.32</v>
      </c>
      <c r="S159" s="56">
        <f t="shared" si="147"/>
        <v>48</v>
      </c>
      <c r="T159" s="3">
        <v>36</v>
      </c>
      <c r="U159" s="60">
        <v>11</v>
      </c>
      <c r="V159">
        <f t="shared" si="139"/>
        <v>47</v>
      </c>
    </row>
    <row r="160" spans="1:22">
      <c r="A160" s="4">
        <v>148</v>
      </c>
      <c r="B160" s="5" t="s">
        <v>321</v>
      </c>
      <c r="C160" s="13" t="s">
        <v>322</v>
      </c>
      <c r="D160" s="34">
        <v>42</v>
      </c>
      <c r="E160" s="49">
        <f t="shared" ref="E160:I160" si="166">((D160*30)/50)</f>
        <v>25.2</v>
      </c>
      <c r="F160" s="34">
        <v>42</v>
      </c>
      <c r="G160" s="49">
        <f t="shared" si="166"/>
        <v>25.2</v>
      </c>
      <c r="H160" s="34">
        <v>49</v>
      </c>
      <c r="I160" s="49">
        <f t="shared" si="166"/>
        <v>29.4</v>
      </c>
      <c r="J160" s="49">
        <f t="shared" si="141"/>
        <v>26.6</v>
      </c>
      <c r="K160" s="34">
        <v>30</v>
      </c>
      <c r="L160" s="54">
        <f t="shared" si="142"/>
        <v>10</v>
      </c>
      <c r="M160" s="34">
        <v>10</v>
      </c>
      <c r="N160" s="34">
        <f t="shared" si="143"/>
        <v>20</v>
      </c>
      <c r="O160" s="56">
        <f t="shared" si="144"/>
        <v>46.6</v>
      </c>
      <c r="P160" s="56">
        <f t="shared" si="145"/>
        <v>27.96</v>
      </c>
      <c r="Q160" s="56">
        <f>'Lab Component'!K160</f>
        <v>19</v>
      </c>
      <c r="R160" s="56">
        <f t="shared" si="146"/>
        <v>46.96</v>
      </c>
      <c r="S160" s="56">
        <f t="shared" si="147"/>
        <v>47</v>
      </c>
      <c r="T160" s="3">
        <v>36</v>
      </c>
      <c r="U160" s="60">
        <v>11</v>
      </c>
      <c r="V160">
        <f t="shared" si="139"/>
        <v>47</v>
      </c>
    </row>
    <row r="161" spans="1:22">
      <c r="A161" s="4">
        <v>149</v>
      </c>
      <c r="B161" s="5" t="s">
        <v>323</v>
      </c>
      <c r="C161" s="13" t="s">
        <v>324</v>
      </c>
      <c r="D161" s="34">
        <v>44</v>
      </c>
      <c r="E161" s="49">
        <f t="shared" ref="E161:I161" si="167">((D161*30)/50)</f>
        <v>26.4</v>
      </c>
      <c r="F161" s="34">
        <v>45</v>
      </c>
      <c r="G161" s="49">
        <f t="shared" si="167"/>
        <v>27</v>
      </c>
      <c r="H161" s="34">
        <v>49</v>
      </c>
      <c r="I161" s="49">
        <f t="shared" si="167"/>
        <v>29.4</v>
      </c>
      <c r="J161" s="49">
        <f t="shared" si="141"/>
        <v>27.6</v>
      </c>
      <c r="K161" s="34">
        <v>30</v>
      </c>
      <c r="L161" s="54">
        <f t="shared" si="142"/>
        <v>10</v>
      </c>
      <c r="M161" s="34">
        <v>10</v>
      </c>
      <c r="N161" s="34">
        <f t="shared" si="143"/>
        <v>20</v>
      </c>
      <c r="O161" s="56">
        <f t="shared" si="144"/>
        <v>47.6</v>
      </c>
      <c r="P161" s="56">
        <f t="shared" si="145"/>
        <v>28.56</v>
      </c>
      <c r="Q161" s="56">
        <f>'Lab Component'!K161</f>
        <v>19</v>
      </c>
      <c r="R161" s="56">
        <f t="shared" si="146"/>
        <v>47.56</v>
      </c>
      <c r="S161" s="56">
        <f t="shared" si="147"/>
        <v>48</v>
      </c>
      <c r="T161" s="3">
        <v>39</v>
      </c>
      <c r="U161" s="60">
        <v>11</v>
      </c>
      <c r="V161">
        <f t="shared" si="139"/>
        <v>50</v>
      </c>
    </row>
    <row r="162" spans="1:22">
      <c r="A162" s="4">
        <v>150</v>
      </c>
      <c r="B162" s="5" t="s">
        <v>325</v>
      </c>
      <c r="C162" s="13" t="s">
        <v>326</v>
      </c>
      <c r="D162" s="34">
        <v>48</v>
      </c>
      <c r="E162" s="49">
        <f t="shared" ref="E162:I162" si="168">((D162*30)/50)</f>
        <v>28.8</v>
      </c>
      <c r="F162" s="34">
        <v>47</v>
      </c>
      <c r="G162" s="49">
        <f t="shared" si="168"/>
        <v>28.2</v>
      </c>
      <c r="H162" s="34">
        <v>50</v>
      </c>
      <c r="I162" s="49">
        <f t="shared" si="168"/>
        <v>30</v>
      </c>
      <c r="J162" s="49">
        <f t="shared" si="141"/>
        <v>29</v>
      </c>
      <c r="K162" s="34">
        <v>30</v>
      </c>
      <c r="L162" s="54">
        <f t="shared" si="142"/>
        <v>10</v>
      </c>
      <c r="M162" s="34">
        <v>10</v>
      </c>
      <c r="N162" s="34">
        <f t="shared" si="143"/>
        <v>20</v>
      </c>
      <c r="O162" s="56">
        <f t="shared" si="144"/>
        <v>49</v>
      </c>
      <c r="P162" s="56">
        <f t="shared" si="145"/>
        <v>29.4</v>
      </c>
      <c r="Q162" s="56">
        <f>'Lab Component'!K162</f>
        <v>19</v>
      </c>
      <c r="R162" s="56">
        <f t="shared" si="146"/>
        <v>48.4</v>
      </c>
      <c r="S162" s="56">
        <f t="shared" si="147"/>
        <v>49</v>
      </c>
      <c r="T162" s="3">
        <v>39</v>
      </c>
      <c r="U162" s="60">
        <v>11</v>
      </c>
      <c r="V162">
        <f t="shared" si="139"/>
        <v>50</v>
      </c>
    </row>
    <row r="163" spans="1:22">
      <c r="A163" s="4">
        <v>151</v>
      </c>
      <c r="B163" s="5" t="s">
        <v>327</v>
      </c>
      <c r="C163" s="13" t="s">
        <v>328</v>
      </c>
      <c r="D163" s="34">
        <v>47</v>
      </c>
      <c r="E163" s="49">
        <f t="shared" ref="E163:I163" si="169">((D163*30)/50)</f>
        <v>28.2</v>
      </c>
      <c r="F163" s="34">
        <v>42</v>
      </c>
      <c r="G163" s="49">
        <f t="shared" si="169"/>
        <v>25.2</v>
      </c>
      <c r="H163" s="34">
        <v>42</v>
      </c>
      <c r="I163" s="49">
        <f t="shared" si="169"/>
        <v>25.2</v>
      </c>
      <c r="J163" s="49">
        <f t="shared" si="141"/>
        <v>26.2</v>
      </c>
      <c r="K163" s="34">
        <v>30</v>
      </c>
      <c r="L163" s="54">
        <f t="shared" si="142"/>
        <v>10</v>
      </c>
      <c r="M163" s="34">
        <v>10</v>
      </c>
      <c r="N163" s="34">
        <f t="shared" si="143"/>
        <v>20</v>
      </c>
      <c r="O163" s="56">
        <f t="shared" si="144"/>
        <v>46.2</v>
      </c>
      <c r="P163" s="56">
        <f t="shared" si="145"/>
        <v>27.72</v>
      </c>
      <c r="Q163" s="56">
        <f>'Lab Component'!K163</f>
        <v>18</v>
      </c>
      <c r="R163" s="56">
        <f t="shared" si="146"/>
        <v>45.72</v>
      </c>
      <c r="S163" s="56">
        <f t="shared" si="147"/>
        <v>46</v>
      </c>
      <c r="T163" s="3">
        <v>39</v>
      </c>
      <c r="U163" s="60">
        <v>11</v>
      </c>
      <c r="V163">
        <f t="shared" si="139"/>
        <v>50</v>
      </c>
    </row>
    <row r="164" spans="1:22">
      <c r="A164" s="4">
        <v>152</v>
      </c>
      <c r="B164" s="5" t="s">
        <v>329</v>
      </c>
      <c r="C164" s="13" t="s">
        <v>330</v>
      </c>
      <c r="D164" s="34">
        <v>36</v>
      </c>
      <c r="E164" s="49">
        <f t="shared" ref="E164:I164" si="170">((D164*30)/50)</f>
        <v>21.6</v>
      </c>
      <c r="F164" s="34">
        <v>47</v>
      </c>
      <c r="G164" s="49">
        <f t="shared" si="170"/>
        <v>28.2</v>
      </c>
      <c r="H164" s="34">
        <v>42</v>
      </c>
      <c r="I164" s="49">
        <f t="shared" si="170"/>
        <v>25.2</v>
      </c>
      <c r="J164" s="49">
        <f t="shared" si="141"/>
        <v>25</v>
      </c>
      <c r="K164" s="34">
        <v>30</v>
      </c>
      <c r="L164" s="54">
        <f t="shared" si="142"/>
        <v>10</v>
      </c>
      <c r="M164" s="34">
        <v>9</v>
      </c>
      <c r="N164" s="34">
        <f t="shared" si="143"/>
        <v>19</v>
      </c>
      <c r="O164" s="56">
        <f t="shared" si="144"/>
        <v>44</v>
      </c>
      <c r="P164" s="56">
        <f t="shared" si="145"/>
        <v>26.4</v>
      </c>
      <c r="Q164" s="56">
        <f>'Lab Component'!K164</f>
        <v>19</v>
      </c>
      <c r="R164" s="56">
        <f t="shared" si="146"/>
        <v>45.4</v>
      </c>
      <c r="S164" s="56">
        <f t="shared" si="147"/>
        <v>46</v>
      </c>
      <c r="T164" s="3">
        <v>36</v>
      </c>
      <c r="U164" s="60">
        <v>11</v>
      </c>
      <c r="V164">
        <f t="shared" si="139"/>
        <v>47</v>
      </c>
    </row>
    <row r="165" spans="1:22">
      <c r="A165" s="4">
        <v>153</v>
      </c>
      <c r="B165" s="5" t="s">
        <v>331</v>
      </c>
      <c r="C165" s="13" t="s">
        <v>332</v>
      </c>
      <c r="D165" s="34">
        <v>43</v>
      </c>
      <c r="E165" s="49">
        <f t="shared" ref="E165:I165" si="171">((D165*30)/50)</f>
        <v>25.8</v>
      </c>
      <c r="F165" s="34">
        <v>43</v>
      </c>
      <c r="G165" s="49">
        <f t="shared" si="171"/>
        <v>25.8</v>
      </c>
      <c r="H165" s="34">
        <v>39</v>
      </c>
      <c r="I165" s="49">
        <f t="shared" si="171"/>
        <v>23.4</v>
      </c>
      <c r="J165" s="49">
        <f t="shared" si="141"/>
        <v>25</v>
      </c>
      <c r="K165" s="34">
        <v>30</v>
      </c>
      <c r="L165" s="54">
        <f t="shared" si="142"/>
        <v>10</v>
      </c>
      <c r="M165" s="34">
        <v>9</v>
      </c>
      <c r="N165" s="34">
        <f t="shared" si="143"/>
        <v>19</v>
      </c>
      <c r="O165" s="34">
        <f t="shared" si="144"/>
        <v>44</v>
      </c>
      <c r="P165" s="56">
        <f t="shared" si="145"/>
        <v>26.4</v>
      </c>
      <c r="Q165" s="56">
        <f>'Lab Component'!K165</f>
        <v>18</v>
      </c>
      <c r="R165" s="56">
        <f t="shared" si="146"/>
        <v>44.4</v>
      </c>
      <c r="S165" s="56">
        <f t="shared" si="147"/>
        <v>45</v>
      </c>
      <c r="T165" s="3">
        <v>39</v>
      </c>
      <c r="U165" s="60">
        <v>11</v>
      </c>
      <c r="V165">
        <f t="shared" si="139"/>
        <v>50</v>
      </c>
    </row>
    <row r="166" spans="1:22">
      <c r="A166" s="4">
        <v>154</v>
      </c>
      <c r="B166" s="5" t="s">
        <v>333</v>
      </c>
      <c r="C166" s="13" t="s">
        <v>334</v>
      </c>
      <c r="D166" s="34">
        <v>36</v>
      </c>
      <c r="E166" s="49">
        <f t="shared" ref="E166:I166" si="172">((D166*30)/50)</f>
        <v>21.6</v>
      </c>
      <c r="F166" s="34">
        <v>35</v>
      </c>
      <c r="G166" s="49">
        <f t="shared" si="172"/>
        <v>21</v>
      </c>
      <c r="H166" s="34">
        <v>23</v>
      </c>
      <c r="I166" s="49">
        <f t="shared" si="172"/>
        <v>13.8</v>
      </c>
      <c r="J166" s="49">
        <f t="shared" si="141"/>
        <v>18.8</v>
      </c>
      <c r="K166" s="34">
        <v>30</v>
      </c>
      <c r="L166" s="54">
        <f t="shared" si="142"/>
        <v>10</v>
      </c>
      <c r="M166" s="34">
        <v>8</v>
      </c>
      <c r="N166" s="34">
        <f t="shared" si="143"/>
        <v>18</v>
      </c>
      <c r="O166" s="34">
        <f t="shared" si="144"/>
        <v>36.8</v>
      </c>
      <c r="P166" s="56">
        <f t="shared" si="145"/>
        <v>22.08</v>
      </c>
      <c r="Q166" s="56">
        <f>'Lab Component'!K166</f>
        <v>18</v>
      </c>
      <c r="R166" s="56">
        <f t="shared" si="146"/>
        <v>40.08</v>
      </c>
      <c r="S166" s="56">
        <f t="shared" si="147"/>
        <v>41</v>
      </c>
      <c r="T166" s="3">
        <v>38</v>
      </c>
      <c r="U166" s="60">
        <v>11</v>
      </c>
      <c r="V166">
        <f t="shared" si="139"/>
        <v>49</v>
      </c>
    </row>
    <row r="167" spans="1:22">
      <c r="A167" s="4">
        <v>155</v>
      </c>
      <c r="B167" s="5" t="s">
        <v>335</v>
      </c>
      <c r="C167" s="13" t="s">
        <v>336</v>
      </c>
      <c r="D167" s="34">
        <v>48</v>
      </c>
      <c r="E167" s="49">
        <f t="shared" ref="E167:I167" si="173">((D167*30)/50)</f>
        <v>28.8</v>
      </c>
      <c r="F167" s="34">
        <v>39</v>
      </c>
      <c r="G167" s="49">
        <f t="shared" si="173"/>
        <v>23.4</v>
      </c>
      <c r="H167" s="34">
        <v>45</v>
      </c>
      <c r="I167" s="49">
        <f t="shared" si="173"/>
        <v>27</v>
      </c>
      <c r="J167" s="49">
        <f t="shared" si="141"/>
        <v>26.4</v>
      </c>
      <c r="K167" s="34">
        <v>30</v>
      </c>
      <c r="L167" s="54">
        <f t="shared" si="142"/>
        <v>10</v>
      </c>
      <c r="M167" s="34">
        <v>9</v>
      </c>
      <c r="N167" s="34">
        <f t="shared" si="143"/>
        <v>19</v>
      </c>
      <c r="O167" s="56">
        <f t="shared" si="144"/>
        <v>45.4</v>
      </c>
      <c r="P167" s="56">
        <f t="shared" si="145"/>
        <v>27.24</v>
      </c>
      <c r="Q167" s="56">
        <f>'Lab Component'!K167</f>
        <v>18</v>
      </c>
      <c r="R167" s="56">
        <f t="shared" si="146"/>
        <v>45.24</v>
      </c>
      <c r="S167" s="56">
        <f t="shared" si="147"/>
        <v>46</v>
      </c>
      <c r="T167" s="3">
        <v>38</v>
      </c>
      <c r="U167" s="60">
        <v>11</v>
      </c>
      <c r="V167">
        <f t="shared" si="139"/>
        <v>49</v>
      </c>
    </row>
    <row r="168" spans="1:22">
      <c r="A168" s="4">
        <v>156</v>
      </c>
      <c r="B168" s="5" t="s">
        <v>337</v>
      </c>
      <c r="C168" s="13" t="s">
        <v>338</v>
      </c>
      <c r="D168" s="34">
        <v>43</v>
      </c>
      <c r="E168" s="49">
        <f t="shared" ref="E168:I168" si="174">((D168*30)/50)</f>
        <v>25.8</v>
      </c>
      <c r="F168" s="34">
        <v>43</v>
      </c>
      <c r="G168" s="49">
        <f t="shared" si="174"/>
        <v>25.8</v>
      </c>
      <c r="H168" s="34">
        <v>48</v>
      </c>
      <c r="I168" s="49">
        <f t="shared" si="174"/>
        <v>28.8</v>
      </c>
      <c r="J168" s="49">
        <f t="shared" si="141"/>
        <v>26.8</v>
      </c>
      <c r="K168" s="34">
        <v>30</v>
      </c>
      <c r="L168" s="54">
        <f t="shared" si="142"/>
        <v>10</v>
      </c>
      <c r="M168" s="34">
        <v>10</v>
      </c>
      <c r="N168" s="34">
        <f t="shared" si="143"/>
        <v>20</v>
      </c>
      <c r="O168" s="56">
        <f t="shared" si="144"/>
        <v>46.8</v>
      </c>
      <c r="P168" s="56">
        <f t="shared" si="145"/>
        <v>28.08</v>
      </c>
      <c r="Q168" s="56">
        <f>'Lab Component'!K168</f>
        <v>20</v>
      </c>
      <c r="R168" s="56">
        <f t="shared" si="146"/>
        <v>48.08</v>
      </c>
      <c r="S168" s="56">
        <f t="shared" si="147"/>
        <v>49</v>
      </c>
      <c r="T168" s="3">
        <v>38</v>
      </c>
      <c r="U168" s="60">
        <v>11</v>
      </c>
      <c r="V168">
        <f t="shared" si="139"/>
        <v>49</v>
      </c>
    </row>
    <row r="169" spans="1:22">
      <c r="A169" s="4">
        <v>157</v>
      </c>
      <c r="B169" s="5" t="s">
        <v>339</v>
      </c>
      <c r="C169" s="13" t="s">
        <v>340</v>
      </c>
      <c r="D169" s="34">
        <v>46</v>
      </c>
      <c r="E169" s="49">
        <f t="shared" ref="E169:I169" si="175">((D169*30)/50)</f>
        <v>27.6</v>
      </c>
      <c r="F169" s="34">
        <v>45</v>
      </c>
      <c r="G169" s="49">
        <f t="shared" si="175"/>
        <v>27</v>
      </c>
      <c r="H169" s="34">
        <v>48</v>
      </c>
      <c r="I169" s="49">
        <f t="shared" si="175"/>
        <v>28.8</v>
      </c>
      <c r="J169" s="49">
        <f t="shared" si="141"/>
        <v>27.8</v>
      </c>
      <c r="K169" s="34">
        <v>30</v>
      </c>
      <c r="L169" s="54">
        <f t="shared" si="142"/>
        <v>10</v>
      </c>
      <c r="M169" s="34">
        <v>9</v>
      </c>
      <c r="N169" s="34">
        <f t="shared" si="143"/>
        <v>19</v>
      </c>
      <c r="O169" s="56">
        <f t="shared" si="144"/>
        <v>46.8</v>
      </c>
      <c r="P169" s="56">
        <f t="shared" si="145"/>
        <v>28.08</v>
      </c>
      <c r="Q169" s="56">
        <f>'Lab Component'!K169</f>
        <v>19</v>
      </c>
      <c r="R169" s="56">
        <f t="shared" si="146"/>
        <v>47.08</v>
      </c>
      <c r="S169" s="56">
        <f t="shared" si="147"/>
        <v>48</v>
      </c>
      <c r="T169" s="3">
        <v>36</v>
      </c>
      <c r="U169" s="60">
        <v>11</v>
      </c>
      <c r="V169">
        <f t="shared" si="139"/>
        <v>47</v>
      </c>
    </row>
    <row r="170" spans="1:22">
      <c r="A170" s="4">
        <v>158</v>
      </c>
      <c r="B170" s="5" t="s">
        <v>341</v>
      </c>
      <c r="C170" s="13" t="s">
        <v>342</v>
      </c>
      <c r="D170" s="34">
        <v>40</v>
      </c>
      <c r="E170" s="49">
        <f t="shared" ref="E170:I170" si="176">((D170*30)/50)</f>
        <v>24</v>
      </c>
      <c r="F170" s="34">
        <v>31</v>
      </c>
      <c r="G170" s="49">
        <f t="shared" si="176"/>
        <v>18.6</v>
      </c>
      <c r="H170" s="34">
        <v>44</v>
      </c>
      <c r="I170" s="49">
        <f t="shared" si="176"/>
        <v>26.4</v>
      </c>
      <c r="J170" s="49">
        <f t="shared" si="141"/>
        <v>23</v>
      </c>
      <c r="K170" s="34">
        <v>30</v>
      </c>
      <c r="L170" s="54">
        <f t="shared" si="142"/>
        <v>10</v>
      </c>
      <c r="M170" s="34">
        <v>8</v>
      </c>
      <c r="N170" s="34">
        <f t="shared" si="143"/>
        <v>18</v>
      </c>
      <c r="O170" s="56">
        <f t="shared" si="144"/>
        <v>41</v>
      </c>
      <c r="P170" s="56">
        <f t="shared" si="145"/>
        <v>24.6</v>
      </c>
      <c r="Q170" s="56">
        <f>'Lab Component'!K170</f>
        <v>18</v>
      </c>
      <c r="R170" s="56">
        <f t="shared" si="146"/>
        <v>42.6</v>
      </c>
      <c r="S170" s="56">
        <f t="shared" si="147"/>
        <v>43</v>
      </c>
      <c r="T170" s="3">
        <v>36</v>
      </c>
      <c r="U170" s="60">
        <v>11</v>
      </c>
      <c r="V170">
        <f t="shared" si="139"/>
        <v>47</v>
      </c>
    </row>
    <row r="171" ht="13.5" customHeight="1" spans="1:22">
      <c r="A171" s="4">
        <v>159</v>
      </c>
      <c r="B171" s="5" t="s">
        <v>343</v>
      </c>
      <c r="C171" s="13" t="s">
        <v>344</v>
      </c>
      <c r="D171" s="34">
        <v>36</v>
      </c>
      <c r="E171" s="49">
        <f t="shared" ref="E171:I171" si="177">((D171*30)/50)</f>
        <v>21.6</v>
      </c>
      <c r="F171" s="34">
        <v>0</v>
      </c>
      <c r="G171" s="49">
        <f t="shared" si="177"/>
        <v>0</v>
      </c>
      <c r="H171" s="34">
        <v>48</v>
      </c>
      <c r="I171" s="49">
        <f t="shared" si="177"/>
        <v>28.8</v>
      </c>
      <c r="J171" s="49">
        <f t="shared" si="141"/>
        <v>16.8</v>
      </c>
      <c r="K171" s="34">
        <v>30</v>
      </c>
      <c r="L171" s="54">
        <f t="shared" si="142"/>
        <v>10</v>
      </c>
      <c r="M171" s="34">
        <v>7</v>
      </c>
      <c r="N171" s="34">
        <f t="shared" si="143"/>
        <v>17</v>
      </c>
      <c r="O171" s="56">
        <f t="shared" si="144"/>
        <v>33.8</v>
      </c>
      <c r="P171" s="56">
        <f t="shared" si="145"/>
        <v>20.28</v>
      </c>
      <c r="Q171" s="56">
        <f>'Lab Component'!K171</f>
        <v>18</v>
      </c>
      <c r="R171" s="56">
        <f t="shared" si="146"/>
        <v>38.28</v>
      </c>
      <c r="S171" s="56">
        <f t="shared" si="147"/>
        <v>39</v>
      </c>
      <c r="T171" s="3">
        <v>36</v>
      </c>
      <c r="U171" s="60">
        <v>11</v>
      </c>
      <c r="V171">
        <f t="shared" si="139"/>
        <v>47</v>
      </c>
    </row>
    <row r="172" spans="1:22">
      <c r="A172" s="4">
        <v>160</v>
      </c>
      <c r="B172" s="5" t="s">
        <v>345</v>
      </c>
      <c r="C172" s="13" t="s">
        <v>346</v>
      </c>
      <c r="D172" s="34">
        <v>48</v>
      </c>
      <c r="E172" s="49">
        <f t="shared" ref="E172:I172" si="178">((D172*30)/50)</f>
        <v>28.8</v>
      </c>
      <c r="F172" s="34">
        <v>36</v>
      </c>
      <c r="G172" s="49">
        <f t="shared" si="178"/>
        <v>21.6</v>
      </c>
      <c r="H172" s="34">
        <v>43</v>
      </c>
      <c r="I172" s="49">
        <f t="shared" si="178"/>
        <v>25.8</v>
      </c>
      <c r="J172" s="49">
        <f t="shared" si="141"/>
        <v>25.4</v>
      </c>
      <c r="K172" s="34">
        <v>30</v>
      </c>
      <c r="L172" s="54">
        <f t="shared" si="142"/>
        <v>10</v>
      </c>
      <c r="M172" s="34">
        <v>8</v>
      </c>
      <c r="N172" s="34">
        <f t="shared" si="143"/>
        <v>18</v>
      </c>
      <c r="O172" s="56">
        <f t="shared" si="144"/>
        <v>43.4</v>
      </c>
      <c r="P172" s="56">
        <f t="shared" si="145"/>
        <v>26.04</v>
      </c>
      <c r="Q172" s="56">
        <f>'Lab Component'!K172</f>
        <v>18</v>
      </c>
      <c r="R172" s="56">
        <f t="shared" si="146"/>
        <v>44.04</v>
      </c>
      <c r="S172" s="56">
        <f t="shared" si="147"/>
        <v>45</v>
      </c>
      <c r="T172" s="3">
        <v>36</v>
      </c>
      <c r="U172" s="60">
        <v>11</v>
      </c>
      <c r="V172">
        <f t="shared" si="139"/>
        <v>47</v>
      </c>
    </row>
    <row r="173" ht="30" spans="1:22">
      <c r="A173" s="4">
        <v>161</v>
      </c>
      <c r="B173" s="5" t="s">
        <v>347</v>
      </c>
      <c r="C173" s="13" t="s">
        <v>348</v>
      </c>
      <c r="D173" s="34">
        <v>40</v>
      </c>
      <c r="E173" s="49">
        <f t="shared" ref="E173:I173" si="179">((D173*30)/50)</f>
        <v>24</v>
      </c>
      <c r="F173" s="34">
        <v>40</v>
      </c>
      <c r="G173" s="49">
        <f t="shared" si="179"/>
        <v>24</v>
      </c>
      <c r="H173" s="34">
        <v>33</v>
      </c>
      <c r="I173" s="49">
        <f t="shared" si="179"/>
        <v>19.8</v>
      </c>
      <c r="J173" s="49">
        <f t="shared" si="141"/>
        <v>22.6</v>
      </c>
      <c r="K173" s="34">
        <v>30</v>
      </c>
      <c r="L173" s="54">
        <f t="shared" si="142"/>
        <v>10</v>
      </c>
      <c r="M173" s="34">
        <v>8</v>
      </c>
      <c r="N173" s="34">
        <f t="shared" ref="N173:N202" si="180">SUM(L173:M173)</f>
        <v>18</v>
      </c>
      <c r="O173" s="56">
        <f t="shared" si="144"/>
        <v>40.6</v>
      </c>
      <c r="P173" s="56">
        <f t="shared" si="145"/>
        <v>24.36</v>
      </c>
      <c r="Q173" s="56">
        <f>'Lab Component'!K173</f>
        <v>19</v>
      </c>
      <c r="R173" s="56">
        <f t="shared" si="146"/>
        <v>43.36</v>
      </c>
      <c r="S173" s="56">
        <f t="shared" si="147"/>
        <v>44</v>
      </c>
      <c r="T173" s="3">
        <v>38</v>
      </c>
      <c r="U173" s="60">
        <v>11</v>
      </c>
      <c r="V173">
        <f t="shared" si="139"/>
        <v>49</v>
      </c>
    </row>
    <row r="174" spans="1:22">
      <c r="A174" s="4">
        <v>162</v>
      </c>
      <c r="B174" s="5" t="s">
        <v>349</v>
      </c>
      <c r="C174" s="13" t="s">
        <v>350</v>
      </c>
      <c r="D174" s="34">
        <v>48</v>
      </c>
      <c r="E174" s="49">
        <f t="shared" ref="E174:I174" si="181">((D174*30)/50)</f>
        <v>28.8</v>
      </c>
      <c r="F174" s="34">
        <v>47</v>
      </c>
      <c r="G174" s="49">
        <f t="shared" si="181"/>
        <v>28.2</v>
      </c>
      <c r="H174" s="34">
        <v>0</v>
      </c>
      <c r="I174" s="49">
        <f t="shared" si="181"/>
        <v>0</v>
      </c>
      <c r="J174" s="49">
        <f t="shared" si="141"/>
        <v>19</v>
      </c>
      <c r="K174" s="34">
        <v>30</v>
      </c>
      <c r="L174" s="54">
        <f t="shared" si="142"/>
        <v>10</v>
      </c>
      <c r="M174" s="34">
        <v>10</v>
      </c>
      <c r="N174" s="34">
        <f t="shared" si="180"/>
        <v>20</v>
      </c>
      <c r="O174" s="34">
        <f t="shared" si="144"/>
        <v>39</v>
      </c>
      <c r="P174" s="56">
        <f t="shared" si="145"/>
        <v>23.4</v>
      </c>
      <c r="Q174" s="56">
        <f>'Lab Component'!K174</f>
        <v>20</v>
      </c>
      <c r="R174" s="56">
        <f t="shared" si="146"/>
        <v>43.4</v>
      </c>
      <c r="S174" s="56">
        <f t="shared" si="147"/>
        <v>44</v>
      </c>
      <c r="T174" s="3">
        <v>37</v>
      </c>
      <c r="U174" s="60">
        <v>11</v>
      </c>
      <c r="V174">
        <f t="shared" si="139"/>
        <v>48</v>
      </c>
    </row>
    <row r="175" spans="1:22">
      <c r="A175" s="4">
        <v>163</v>
      </c>
      <c r="B175" s="5" t="s">
        <v>351</v>
      </c>
      <c r="C175" s="13" t="s">
        <v>352</v>
      </c>
      <c r="D175" s="34">
        <v>41</v>
      </c>
      <c r="E175" s="49">
        <f t="shared" ref="E175:I175" si="182">((D175*30)/50)</f>
        <v>24.6</v>
      </c>
      <c r="F175" s="34">
        <v>38</v>
      </c>
      <c r="G175" s="49">
        <f t="shared" si="182"/>
        <v>22.8</v>
      </c>
      <c r="H175" s="34">
        <v>43</v>
      </c>
      <c r="I175" s="49">
        <f t="shared" si="182"/>
        <v>25.8</v>
      </c>
      <c r="J175" s="49">
        <f t="shared" si="141"/>
        <v>24.4</v>
      </c>
      <c r="K175" s="34">
        <v>30</v>
      </c>
      <c r="L175" s="54">
        <f t="shared" si="142"/>
        <v>10</v>
      </c>
      <c r="M175" s="34">
        <v>9</v>
      </c>
      <c r="N175" s="34">
        <f t="shared" si="180"/>
        <v>19</v>
      </c>
      <c r="O175" s="34">
        <f t="shared" si="144"/>
        <v>43.4</v>
      </c>
      <c r="P175" s="56">
        <f t="shared" si="145"/>
        <v>26.04</v>
      </c>
      <c r="Q175" s="56">
        <f>'Lab Component'!K175</f>
        <v>19</v>
      </c>
      <c r="R175" s="56">
        <f t="shared" si="146"/>
        <v>45.04</v>
      </c>
      <c r="S175" s="56">
        <f t="shared" si="147"/>
        <v>46</v>
      </c>
      <c r="T175" s="3">
        <v>36</v>
      </c>
      <c r="U175" s="60">
        <v>11</v>
      </c>
      <c r="V175">
        <f t="shared" si="139"/>
        <v>47</v>
      </c>
    </row>
    <row r="176" spans="1:22">
      <c r="A176" s="4">
        <v>164</v>
      </c>
      <c r="B176" s="5" t="s">
        <v>353</v>
      </c>
      <c r="C176" s="13" t="s">
        <v>354</v>
      </c>
      <c r="D176" s="34">
        <v>42</v>
      </c>
      <c r="E176" s="49">
        <f t="shared" ref="E176:I176" si="183">((D176*30)/50)</f>
        <v>25.2</v>
      </c>
      <c r="F176" s="34">
        <v>36</v>
      </c>
      <c r="G176" s="49">
        <f t="shared" si="183"/>
        <v>21.6</v>
      </c>
      <c r="H176" s="34">
        <v>40</v>
      </c>
      <c r="I176" s="49">
        <f t="shared" si="183"/>
        <v>24</v>
      </c>
      <c r="J176" s="49">
        <f t="shared" si="141"/>
        <v>23.6</v>
      </c>
      <c r="K176" s="57">
        <v>30</v>
      </c>
      <c r="L176" s="54">
        <f t="shared" si="142"/>
        <v>10</v>
      </c>
      <c r="M176" s="34">
        <v>8</v>
      </c>
      <c r="N176" s="34">
        <f t="shared" si="180"/>
        <v>18</v>
      </c>
      <c r="O176" s="56">
        <f t="shared" si="144"/>
        <v>41.6</v>
      </c>
      <c r="P176" s="56">
        <f t="shared" si="145"/>
        <v>24.96</v>
      </c>
      <c r="Q176" s="56">
        <f>'Lab Component'!K176</f>
        <v>19</v>
      </c>
      <c r="R176" s="56">
        <f t="shared" si="146"/>
        <v>43.96</v>
      </c>
      <c r="S176" s="56">
        <f t="shared" si="147"/>
        <v>44</v>
      </c>
      <c r="T176" s="3">
        <v>36</v>
      </c>
      <c r="U176" s="60">
        <v>12</v>
      </c>
      <c r="V176">
        <f t="shared" si="139"/>
        <v>48</v>
      </c>
    </row>
    <row r="177" spans="1:22">
      <c r="A177" s="4">
        <v>165</v>
      </c>
      <c r="B177" s="5" t="s">
        <v>355</v>
      </c>
      <c r="C177" s="13" t="s">
        <v>356</v>
      </c>
      <c r="D177" s="34">
        <v>45</v>
      </c>
      <c r="E177" s="49">
        <f t="shared" ref="E177:I177" si="184">((D177*30)/50)</f>
        <v>27</v>
      </c>
      <c r="F177" s="34">
        <v>47</v>
      </c>
      <c r="G177" s="49">
        <f t="shared" si="184"/>
        <v>28.2</v>
      </c>
      <c r="H177" s="34">
        <v>48</v>
      </c>
      <c r="I177" s="49">
        <f t="shared" si="184"/>
        <v>28.8</v>
      </c>
      <c r="J177" s="49">
        <f t="shared" si="141"/>
        <v>28</v>
      </c>
      <c r="K177" s="58">
        <v>30</v>
      </c>
      <c r="L177" s="54">
        <f t="shared" si="142"/>
        <v>10</v>
      </c>
      <c r="M177" s="34">
        <v>10</v>
      </c>
      <c r="N177" s="34">
        <f t="shared" si="180"/>
        <v>20</v>
      </c>
      <c r="O177" s="56">
        <f t="shared" si="144"/>
        <v>48</v>
      </c>
      <c r="P177" s="56">
        <f t="shared" si="145"/>
        <v>28.8</v>
      </c>
      <c r="Q177" s="56">
        <f>'Lab Component'!K177</f>
        <v>20</v>
      </c>
      <c r="R177" s="56">
        <f t="shared" si="146"/>
        <v>48.8</v>
      </c>
      <c r="S177" s="56">
        <f t="shared" si="147"/>
        <v>49</v>
      </c>
      <c r="T177" s="3">
        <v>39</v>
      </c>
      <c r="U177" s="60">
        <v>12</v>
      </c>
      <c r="V177">
        <f t="shared" si="139"/>
        <v>51</v>
      </c>
    </row>
    <row r="178" spans="1:22">
      <c r="A178" s="4">
        <v>166</v>
      </c>
      <c r="B178" s="5" t="s">
        <v>357</v>
      </c>
      <c r="C178" s="13" t="s">
        <v>358</v>
      </c>
      <c r="D178" s="34">
        <v>41</v>
      </c>
      <c r="E178" s="49">
        <f t="shared" ref="E178:I178" si="185">((D178*30)/50)</f>
        <v>24.6</v>
      </c>
      <c r="F178" s="34">
        <v>45</v>
      </c>
      <c r="G178" s="49">
        <f t="shared" si="185"/>
        <v>27</v>
      </c>
      <c r="H178" s="34">
        <v>47</v>
      </c>
      <c r="I178" s="49">
        <f t="shared" si="185"/>
        <v>28.2</v>
      </c>
      <c r="J178" s="49">
        <f t="shared" si="141"/>
        <v>26.6</v>
      </c>
      <c r="K178" s="57">
        <v>30</v>
      </c>
      <c r="L178" s="54">
        <f t="shared" si="142"/>
        <v>10</v>
      </c>
      <c r="M178" s="34">
        <v>10</v>
      </c>
      <c r="N178" s="34">
        <f t="shared" si="180"/>
        <v>20</v>
      </c>
      <c r="O178" s="56">
        <f t="shared" si="144"/>
        <v>46.6</v>
      </c>
      <c r="P178" s="56">
        <f t="shared" si="145"/>
        <v>27.96</v>
      </c>
      <c r="Q178" s="56">
        <f>'Lab Component'!K178</f>
        <v>20</v>
      </c>
      <c r="R178" s="56">
        <f t="shared" si="146"/>
        <v>47.96</v>
      </c>
      <c r="S178" s="56">
        <f t="shared" si="147"/>
        <v>48</v>
      </c>
      <c r="T178" s="3">
        <v>38</v>
      </c>
      <c r="U178" s="60">
        <v>12</v>
      </c>
      <c r="V178">
        <f t="shared" si="139"/>
        <v>50</v>
      </c>
    </row>
    <row r="179" spans="1:22">
      <c r="A179" s="4">
        <v>167</v>
      </c>
      <c r="B179" s="5" t="s">
        <v>359</v>
      </c>
      <c r="C179" s="13" t="s">
        <v>360</v>
      </c>
      <c r="D179" s="34">
        <v>50</v>
      </c>
      <c r="E179" s="49">
        <f t="shared" ref="E179:I179" si="186">((D179*30)/50)</f>
        <v>30</v>
      </c>
      <c r="F179" s="34">
        <v>50</v>
      </c>
      <c r="G179" s="49">
        <f t="shared" si="186"/>
        <v>30</v>
      </c>
      <c r="H179" s="34">
        <v>49</v>
      </c>
      <c r="I179" s="49">
        <f t="shared" si="186"/>
        <v>29.4</v>
      </c>
      <c r="J179" s="49">
        <f t="shared" si="141"/>
        <v>29.8</v>
      </c>
      <c r="K179" s="58">
        <v>30</v>
      </c>
      <c r="L179" s="54">
        <f t="shared" si="142"/>
        <v>10</v>
      </c>
      <c r="M179" s="34">
        <v>10</v>
      </c>
      <c r="N179" s="34">
        <f t="shared" si="180"/>
        <v>20</v>
      </c>
      <c r="O179" s="56">
        <f t="shared" si="144"/>
        <v>49.8</v>
      </c>
      <c r="P179" s="56">
        <f t="shared" si="145"/>
        <v>29.88</v>
      </c>
      <c r="Q179" s="56">
        <f>'Lab Component'!K179</f>
        <v>20</v>
      </c>
      <c r="R179" s="56">
        <f t="shared" si="146"/>
        <v>49.88</v>
      </c>
      <c r="S179" s="56">
        <f t="shared" si="147"/>
        <v>50</v>
      </c>
      <c r="T179" s="3">
        <v>38</v>
      </c>
      <c r="U179" s="60">
        <v>11</v>
      </c>
      <c r="V179">
        <f t="shared" si="139"/>
        <v>49</v>
      </c>
    </row>
    <row r="180" spans="1:22">
      <c r="A180" s="4">
        <v>168</v>
      </c>
      <c r="B180" s="5" t="s">
        <v>361</v>
      </c>
      <c r="C180" s="13" t="s">
        <v>362</v>
      </c>
      <c r="D180" s="34">
        <v>38</v>
      </c>
      <c r="E180" s="49">
        <f t="shared" ref="E180:I180" si="187">((D180*30)/50)</f>
        <v>22.8</v>
      </c>
      <c r="F180" s="34">
        <v>42</v>
      </c>
      <c r="G180" s="49">
        <f t="shared" si="187"/>
        <v>25.2</v>
      </c>
      <c r="H180" s="34">
        <v>45</v>
      </c>
      <c r="I180" s="49">
        <f t="shared" si="187"/>
        <v>27</v>
      </c>
      <c r="J180" s="49">
        <f t="shared" si="141"/>
        <v>25</v>
      </c>
      <c r="K180" s="57">
        <v>30</v>
      </c>
      <c r="L180" s="54">
        <f t="shared" si="142"/>
        <v>10</v>
      </c>
      <c r="M180" s="34">
        <v>8</v>
      </c>
      <c r="N180" s="34">
        <f t="shared" si="180"/>
        <v>18</v>
      </c>
      <c r="O180" s="56">
        <f t="shared" si="144"/>
        <v>43</v>
      </c>
      <c r="P180" s="56">
        <f t="shared" si="145"/>
        <v>25.8</v>
      </c>
      <c r="Q180" s="56">
        <f>'Lab Component'!K180</f>
        <v>19</v>
      </c>
      <c r="R180" s="56">
        <f t="shared" si="146"/>
        <v>44.8</v>
      </c>
      <c r="S180" s="56">
        <f t="shared" si="147"/>
        <v>45</v>
      </c>
      <c r="T180" s="3">
        <v>37</v>
      </c>
      <c r="U180" s="60">
        <v>11</v>
      </c>
      <c r="V180">
        <f t="shared" si="139"/>
        <v>48</v>
      </c>
    </row>
    <row r="181" spans="1:22">
      <c r="A181" s="4">
        <v>169</v>
      </c>
      <c r="B181" s="5" t="s">
        <v>363</v>
      </c>
      <c r="C181" s="13" t="s">
        <v>364</v>
      </c>
      <c r="D181" s="34">
        <v>18</v>
      </c>
      <c r="E181" s="49">
        <f t="shared" ref="E181:I181" si="188">((D181*30)/50)</f>
        <v>10.8</v>
      </c>
      <c r="F181" s="34">
        <v>16</v>
      </c>
      <c r="G181" s="49">
        <f t="shared" si="188"/>
        <v>9.6</v>
      </c>
      <c r="H181" s="34">
        <v>26</v>
      </c>
      <c r="I181" s="49">
        <f t="shared" si="188"/>
        <v>15.6</v>
      </c>
      <c r="J181" s="49">
        <f t="shared" si="141"/>
        <v>12</v>
      </c>
      <c r="K181" s="34">
        <v>30</v>
      </c>
      <c r="L181" s="54">
        <f t="shared" si="142"/>
        <v>10</v>
      </c>
      <c r="M181" s="34">
        <v>8</v>
      </c>
      <c r="N181" s="34">
        <f t="shared" si="180"/>
        <v>18</v>
      </c>
      <c r="O181" s="56">
        <f t="shared" si="144"/>
        <v>30</v>
      </c>
      <c r="P181" s="56">
        <f t="shared" si="145"/>
        <v>18</v>
      </c>
      <c r="Q181" s="56">
        <f>'Lab Component'!K181</f>
        <v>17</v>
      </c>
      <c r="R181" s="56">
        <f t="shared" si="146"/>
        <v>35</v>
      </c>
      <c r="S181" s="56">
        <f t="shared" si="147"/>
        <v>35</v>
      </c>
      <c r="T181" s="3">
        <v>36</v>
      </c>
      <c r="U181" s="60">
        <v>11</v>
      </c>
      <c r="V181">
        <f t="shared" si="139"/>
        <v>47</v>
      </c>
    </row>
    <row r="182" spans="1:22">
      <c r="A182" s="4">
        <v>170</v>
      </c>
      <c r="B182" s="5" t="s">
        <v>365</v>
      </c>
      <c r="C182" s="13" t="s">
        <v>366</v>
      </c>
      <c r="D182" s="34">
        <v>48</v>
      </c>
      <c r="E182" s="49">
        <f t="shared" ref="E182:I182" si="189">((D182*30)/50)</f>
        <v>28.8</v>
      </c>
      <c r="F182" s="34">
        <v>45</v>
      </c>
      <c r="G182" s="49">
        <f t="shared" si="189"/>
        <v>27</v>
      </c>
      <c r="H182" s="34">
        <v>45</v>
      </c>
      <c r="I182" s="49">
        <f t="shared" si="189"/>
        <v>27</v>
      </c>
      <c r="J182" s="49">
        <f t="shared" si="141"/>
        <v>27.6</v>
      </c>
      <c r="K182" s="34">
        <v>30</v>
      </c>
      <c r="L182" s="54">
        <f t="shared" si="142"/>
        <v>10</v>
      </c>
      <c r="M182" s="34">
        <v>10</v>
      </c>
      <c r="N182" s="34">
        <f t="shared" si="180"/>
        <v>20</v>
      </c>
      <c r="O182" s="56">
        <f t="shared" si="144"/>
        <v>47.6</v>
      </c>
      <c r="P182" s="56">
        <f t="shared" si="145"/>
        <v>28.56</v>
      </c>
      <c r="Q182" s="56">
        <f>'Lab Component'!K182</f>
        <v>19</v>
      </c>
      <c r="R182" s="56">
        <f t="shared" si="146"/>
        <v>47.56</v>
      </c>
      <c r="S182" s="56">
        <f t="shared" si="147"/>
        <v>48</v>
      </c>
      <c r="T182" s="3">
        <v>36</v>
      </c>
      <c r="U182" s="60">
        <v>12</v>
      </c>
      <c r="V182">
        <f t="shared" si="139"/>
        <v>48</v>
      </c>
    </row>
    <row r="183" spans="1:22">
      <c r="A183" s="4">
        <v>171</v>
      </c>
      <c r="B183" s="5" t="s">
        <v>367</v>
      </c>
      <c r="C183" s="13" t="s">
        <v>368</v>
      </c>
      <c r="D183" s="34">
        <v>42</v>
      </c>
      <c r="E183" s="49">
        <f t="shared" ref="E183:I183" si="190">((D183*30)/50)</f>
        <v>25.2</v>
      </c>
      <c r="F183" s="34">
        <v>42</v>
      </c>
      <c r="G183" s="49">
        <f t="shared" si="190"/>
        <v>25.2</v>
      </c>
      <c r="H183" s="34">
        <v>45</v>
      </c>
      <c r="I183" s="49">
        <f t="shared" si="190"/>
        <v>27</v>
      </c>
      <c r="J183" s="49">
        <f t="shared" si="141"/>
        <v>25.8</v>
      </c>
      <c r="K183" s="34">
        <v>30</v>
      </c>
      <c r="L183" s="54">
        <f t="shared" si="142"/>
        <v>10</v>
      </c>
      <c r="M183" s="34">
        <v>9</v>
      </c>
      <c r="N183" s="34">
        <f t="shared" si="180"/>
        <v>19</v>
      </c>
      <c r="O183" s="34">
        <f t="shared" si="144"/>
        <v>44.8</v>
      </c>
      <c r="P183" s="56">
        <f t="shared" si="145"/>
        <v>26.88</v>
      </c>
      <c r="Q183" s="56">
        <f>'Lab Component'!K183</f>
        <v>19</v>
      </c>
      <c r="R183" s="56">
        <f t="shared" si="146"/>
        <v>45.88</v>
      </c>
      <c r="S183" s="56">
        <f t="shared" si="147"/>
        <v>46</v>
      </c>
      <c r="T183" s="3">
        <v>37</v>
      </c>
      <c r="U183" s="60">
        <v>11</v>
      </c>
      <c r="V183">
        <f t="shared" si="139"/>
        <v>48</v>
      </c>
    </row>
    <row r="184" spans="1:22">
      <c r="A184" s="4">
        <v>172</v>
      </c>
      <c r="B184" s="5" t="s">
        <v>369</v>
      </c>
      <c r="C184" s="13" t="s">
        <v>370</v>
      </c>
      <c r="D184" s="34">
        <v>22</v>
      </c>
      <c r="E184" s="49">
        <f t="shared" ref="E184:I184" si="191">((D184*30)/50)</f>
        <v>13.2</v>
      </c>
      <c r="F184" s="34">
        <v>0</v>
      </c>
      <c r="G184" s="49">
        <f t="shared" si="191"/>
        <v>0</v>
      </c>
      <c r="H184" s="34">
        <v>38</v>
      </c>
      <c r="I184" s="49">
        <f t="shared" si="191"/>
        <v>22.8</v>
      </c>
      <c r="J184" s="49">
        <f t="shared" si="141"/>
        <v>12</v>
      </c>
      <c r="K184" s="34">
        <v>30</v>
      </c>
      <c r="L184" s="54">
        <f t="shared" si="142"/>
        <v>10</v>
      </c>
      <c r="M184" s="34">
        <v>8</v>
      </c>
      <c r="N184" s="34">
        <f t="shared" si="180"/>
        <v>18</v>
      </c>
      <c r="O184" s="34">
        <f t="shared" si="144"/>
        <v>30</v>
      </c>
      <c r="P184" s="56">
        <f t="shared" si="145"/>
        <v>18</v>
      </c>
      <c r="Q184" s="56">
        <f>'Lab Component'!K184</f>
        <v>17</v>
      </c>
      <c r="R184" s="56">
        <f t="shared" si="146"/>
        <v>35</v>
      </c>
      <c r="S184" s="56">
        <f t="shared" si="147"/>
        <v>35</v>
      </c>
      <c r="T184" s="3">
        <v>36</v>
      </c>
      <c r="U184" s="60">
        <v>12</v>
      </c>
      <c r="V184">
        <f t="shared" si="139"/>
        <v>48</v>
      </c>
    </row>
    <row r="185" spans="1:22">
      <c r="A185" s="4">
        <v>173</v>
      </c>
      <c r="B185" s="5" t="s">
        <v>371</v>
      </c>
      <c r="C185" s="13" t="s">
        <v>372</v>
      </c>
      <c r="D185" s="34">
        <v>38</v>
      </c>
      <c r="E185" s="49">
        <f t="shared" ref="E185:I185" si="192">((D185*30)/50)</f>
        <v>22.8</v>
      </c>
      <c r="F185" s="34">
        <v>23</v>
      </c>
      <c r="G185" s="49">
        <f t="shared" si="192"/>
        <v>13.8</v>
      </c>
      <c r="H185" s="34">
        <v>17</v>
      </c>
      <c r="I185" s="49">
        <f t="shared" si="192"/>
        <v>10.2</v>
      </c>
      <c r="J185" s="49">
        <f t="shared" si="141"/>
        <v>15.6</v>
      </c>
      <c r="K185" s="34">
        <v>30</v>
      </c>
      <c r="L185" s="54">
        <f t="shared" si="142"/>
        <v>10</v>
      </c>
      <c r="M185" s="34">
        <v>7</v>
      </c>
      <c r="N185" s="34">
        <f t="shared" si="180"/>
        <v>17</v>
      </c>
      <c r="O185" s="56">
        <f t="shared" si="144"/>
        <v>32.6</v>
      </c>
      <c r="P185" s="56">
        <f t="shared" si="145"/>
        <v>19.56</v>
      </c>
      <c r="Q185" s="56">
        <f>'Lab Component'!K185</f>
        <v>18</v>
      </c>
      <c r="R185" s="56">
        <f t="shared" si="146"/>
        <v>37.56</v>
      </c>
      <c r="S185" s="56">
        <f t="shared" si="147"/>
        <v>38</v>
      </c>
      <c r="T185" s="3">
        <v>36</v>
      </c>
      <c r="U185" s="60">
        <v>13</v>
      </c>
      <c r="V185">
        <f t="shared" si="139"/>
        <v>49</v>
      </c>
    </row>
    <row r="186" spans="1:22">
      <c r="A186" s="4">
        <v>174</v>
      </c>
      <c r="B186" s="5" t="s">
        <v>373</v>
      </c>
      <c r="C186" s="13" t="s">
        <v>374</v>
      </c>
      <c r="D186" s="34">
        <v>44</v>
      </c>
      <c r="E186" s="49">
        <f t="shared" ref="E186:I186" si="193">((D186*30)/50)</f>
        <v>26.4</v>
      </c>
      <c r="F186" s="34">
        <v>48</v>
      </c>
      <c r="G186" s="49">
        <f t="shared" si="193"/>
        <v>28.8</v>
      </c>
      <c r="H186" s="34">
        <v>47</v>
      </c>
      <c r="I186" s="49">
        <f t="shared" si="193"/>
        <v>28.2</v>
      </c>
      <c r="J186" s="49">
        <f t="shared" si="141"/>
        <v>27.8</v>
      </c>
      <c r="K186" s="34">
        <v>30</v>
      </c>
      <c r="L186" s="54">
        <f t="shared" si="142"/>
        <v>10</v>
      </c>
      <c r="M186" s="34">
        <v>10</v>
      </c>
      <c r="N186" s="34">
        <f t="shared" si="180"/>
        <v>20</v>
      </c>
      <c r="O186" s="56">
        <f t="shared" si="144"/>
        <v>47.8</v>
      </c>
      <c r="P186" s="56">
        <f t="shared" si="145"/>
        <v>28.68</v>
      </c>
      <c r="Q186" s="56">
        <f>'Lab Component'!K186</f>
        <v>18</v>
      </c>
      <c r="R186" s="56">
        <f t="shared" si="146"/>
        <v>46.68</v>
      </c>
      <c r="S186" s="56">
        <f t="shared" si="147"/>
        <v>47</v>
      </c>
      <c r="T186" s="3">
        <v>36</v>
      </c>
      <c r="U186" s="60">
        <v>14</v>
      </c>
      <c r="V186">
        <f t="shared" si="139"/>
        <v>50</v>
      </c>
    </row>
    <row r="187" spans="1:22">
      <c r="A187" s="4">
        <v>175</v>
      </c>
      <c r="B187" s="5" t="s">
        <v>375</v>
      </c>
      <c r="C187" s="13" t="s">
        <v>376</v>
      </c>
      <c r="D187" s="34">
        <v>39</v>
      </c>
      <c r="E187" s="49">
        <f t="shared" ref="E187:I187" si="194">((D187*30)/50)</f>
        <v>23.4</v>
      </c>
      <c r="F187" s="34">
        <v>0</v>
      </c>
      <c r="G187" s="49">
        <f t="shared" si="194"/>
        <v>0</v>
      </c>
      <c r="H187" s="34">
        <v>43</v>
      </c>
      <c r="I187" s="49">
        <f t="shared" si="194"/>
        <v>25.8</v>
      </c>
      <c r="J187" s="49">
        <f t="shared" si="141"/>
        <v>16.4</v>
      </c>
      <c r="K187" s="34">
        <v>30</v>
      </c>
      <c r="L187" s="54">
        <f t="shared" si="142"/>
        <v>10</v>
      </c>
      <c r="M187" s="34">
        <v>6</v>
      </c>
      <c r="N187" s="34">
        <f t="shared" si="180"/>
        <v>16</v>
      </c>
      <c r="O187" s="56">
        <f t="shared" si="144"/>
        <v>32.4</v>
      </c>
      <c r="P187" s="56">
        <f t="shared" si="145"/>
        <v>19.44</v>
      </c>
      <c r="Q187" s="56">
        <f>'Lab Component'!K187</f>
        <v>18</v>
      </c>
      <c r="R187" s="56">
        <f t="shared" si="146"/>
        <v>37.44</v>
      </c>
      <c r="S187" s="56">
        <f t="shared" si="147"/>
        <v>38</v>
      </c>
      <c r="T187" s="3">
        <v>36</v>
      </c>
      <c r="U187" s="60">
        <v>15</v>
      </c>
      <c r="V187">
        <f t="shared" si="139"/>
        <v>51</v>
      </c>
    </row>
    <row r="188" spans="1:22">
      <c r="A188" s="4">
        <v>176</v>
      </c>
      <c r="B188" s="5" t="s">
        <v>377</v>
      </c>
      <c r="C188" s="13" t="s">
        <v>378</v>
      </c>
      <c r="D188" s="34">
        <v>44</v>
      </c>
      <c r="E188" s="49">
        <f t="shared" ref="E188:I188" si="195">((D188*30)/50)</f>
        <v>26.4</v>
      </c>
      <c r="F188" s="34">
        <v>37</v>
      </c>
      <c r="G188" s="49">
        <f t="shared" si="195"/>
        <v>22.2</v>
      </c>
      <c r="H188" s="34">
        <v>45</v>
      </c>
      <c r="I188" s="49">
        <f t="shared" si="195"/>
        <v>27</v>
      </c>
      <c r="J188" s="49">
        <f t="shared" si="141"/>
        <v>25.2</v>
      </c>
      <c r="K188" s="34">
        <v>30</v>
      </c>
      <c r="L188" s="54">
        <f t="shared" si="142"/>
        <v>10</v>
      </c>
      <c r="M188" s="34">
        <v>9</v>
      </c>
      <c r="N188" s="34">
        <f t="shared" si="180"/>
        <v>19</v>
      </c>
      <c r="O188" s="56">
        <f t="shared" si="144"/>
        <v>44.2</v>
      </c>
      <c r="P188" s="56">
        <f t="shared" si="145"/>
        <v>26.52</v>
      </c>
      <c r="Q188" s="56">
        <f>'Lab Component'!K188</f>
        <v>19</v>
      </c>
      <c r="R188" s="56">
        <f t="shared" si="146"/>
        <v>45.52</v>
      </c>
      <c r="S188" s="56">
        <f t="shared" si="147"/>
        <v>46</v>
      </c>
      <c r="T188" s="3">
        <v>39</v>
      </c>
      <c r="U188" s="60">
        <v>16</v>
      </c>
      <c r="V188">
        <f t="shared" si="139"/>
        <v>55</v>
      </c>
    </row>
    <row r="189" spans="1:22">
      <c r="A189" s="4">
        <v>177</v>
      </c>
      <c r="B189" s="5" t="s">
        <v>379</v>
      </c>
      <c r="C189" s="13" t="s">
        <v>380</v>
      </c>
      <c r="D189" s="34">
        <v>40</v>
      </c>
      <c r="E189" s="49">
        <f t="shared" ref="E189:I189" si="196">((D189*30)/50)</f>
        <v>24</v>
      </c>
      <c r="F189" s="34">
        <v>32</v>
      </c>
      <c r="G189" s="49">
        <f t="shared" si="196"/>
        <v>19.2</v>
      </c>
      <c r="H189" s="34">
        <v>38</v>
      </c>
      <c r="I189" s="49">
        <f t="shared" si="196"/>
        <v>22.8</v>
      </c>
      <c r="J189" s="49">
        <f t="shared" si="141"/>
        <v>22</v>
      </c>
      <c r="K189" s="34">
        <v>30</v>
      </c>
      <c r="L189" s="54">
        <f t="shared" si="142"/>
        <v>10</v>
      </c>
      <c r="M189" s="34">
        <v>8</v>
      </c>
      <c r="N189" s="34">
        <f t="shared" si="180"/>
        <v>18</v>
      </c>
      <c r="O189" s="56">
        <f t="shared" si="144"/>
        <v>40</v>
      </c>
      <c r="P189" s="56">
        <f t="shared" si="145"/>
        <v>24</v>
      </c>
      <c r="Q189" s="56">
        <f>'Lab Component'!K189</f>
        <v>20</v>
      </c>
      <c r="R189" s="56">
        <f t="shared" si="146"/>
        <v>44</v>
      </c>
      <c r="S189" s="56">
        <f t="shared" si="147"/>
        <v>44</v>
      </c>
      <c r="T189" s="3">
        <v>36</v>
      </c>
      <c r="U189" s="60">
        <v>12</v>
      </c>
      <c r="V189">
        <f t="shared" si="139"/>
        <v>48</v>
      </c>
    </row>
    <row r="190" spans="1:22">
      <c r="A190" s="4">
        <v>178</v>
      </c>
      <c r="B190" s="5" t="s">
        <v>381</v>
      </c>
      <c r="C190" s="13" t="s">
        <v>382</v>
      </c>
      <c r="D190" s="34">
        <v>43</v>
      </c>
      <c r="E190" s="49">
        <f t="shared" ref="E190:I190" si="197">((D190*30)/50)</f>
        <v>25.8</v>
      </c>
      <c r="F190" s="34">
        <v>48</v>
      </c>
      <c r="G190" s="49">
        <f t="shared" si="197"/>
        <v>28.8</v>
      </c>
      <c r="H190" s="34">
        <v>46</v>
      </c>
      <c r="I190" s="49">
        <f t="shared" si="197"/>
        <v>27.6</v>
      </c>
      <c r="J190" s="49">
        <f t="shared" si="141"/>
        <v>27.4</v>
      </c>
      <c r="K190" s="34">
        <v>30</v>
      </c>
      <c r="L190" s="54">
        <f t="shared" si="142"/>
        <v>10</v>
      </c>
      <c r="M190" s="34">
        <v>9</v>
      </c>
      <c r="N190" s="34">
        <f t="shared" si="180"/>
        <v>19</v>
      </c>
      <c r="O190" s="56">
        <f t="shared" si="144"/>
        <v>46.4</v>
      </c>
      <c r="P190" s="56">
        <f t="shared" si="145"/>
        <v>27.84</v>
      </c>
      <c r="Q190" s="56">
        <f>'Lab Component'!K190</f>
        <v>19</v>
      </c>
      <c r="R190" s="56">
        <f t="shared" si="146"/>
        <v>46.84</v>
      </c>
      <c r="S190" s="56">
        <f t="shared" si="147"/>
        <v>47</v>
      </c>
      <c r="T190" s="3">
        <v>36</v>
      </c>
      <c r="U190" s="60">
        <v>11</v>
      </c>
      <c r="V190">
        <f t="shared" si="139"/>
        <v>47</v>
      </c>
    </row>
    <row r="191" spans="1:22">
      <c r="A191" s="4">
        <v>179</v>
      </c>
      <c r="B191" s="5" t="s">
        <v>383</v>
      </c>
      <c r="C191" s="13" t="s">
        <v>384</v>
      </c>
      <c r="D191" s="34">
        <v>42</v>
      </c>
      <c r="E191" s="49">
        <f t="shared" ref="E191:I191" si="198">((D191*30)/50)</f>
        <v>25.2</v>
      </c>
      <c r="F191" s="34">
        <v>42</v>
      </c>
      <c r="G191" s="49">
        <f t="shared" si="198"/>
        <v>25.2</v>
      </c>
      <c r="H191" s="34">
        <v>43</v>
      </c>
      <c r="I191" s="49">
        <f t="shared" si="198"/>
        <v>25.8</v>
      </c>
      <c r="J191" s="49">
        <f t="shared" si="141"/>
        <v>25.4</v>
      </c>
      <c r="K191" s="57">
        <v>30</v>
      </c>
      <c r="L191" s="54">
        <f t="shared" si="142"/>
        <v>10</v>
      </c>
      <c r="M191" s="34">
        <v>10</v>
      </c>
      <c r="N191" s="34">
        <f t="shared" si="180"/>
        <v>20</v>
      </c>
      <c r="O191" s="56">
        <f t="shared" si="144"/>
        <v>45.4</v>
      </c>
      <c r="P191" s="56">
        <f t="shared" si="145"/>
        <v>27.24</v>
      </c>
      <c r="Q191" s="56">
        <f>'Lab Component'!K191</f>
        <v>18</v>
      </c>
      <c r="R191" s="56">
        <f t="shared" si="146"/>
        <v>45.24</v>
      </c>
      <c r="S191" s="56">
        <f t="shared" si="147"/>
        <v>46</v>
      </c>
      <c r="T191" s="3">
        <v>36</v>
      </c>
      <c r="U191" s="60">
        <v>11</v>
      </c>
      <c r="V191">
        <f t="shared" si="139"/>
        <v>47</v>
      </c>
    </row>
    <row r="192" spans="1:22">
      <c r="A192" s="4">
        <v>180</v>
      </c>
      <c r="B192" s="5" t="s">
        <v>385</v>
      </c>
      <c r="C192" s="13" t="s">
        <v>386</v>
      </c>
      <c r="D192" s="34">
        <v>40</v>
      </c>
      <c r="E192" s="49">
        <f t="shared" ref="E192:I192" si="199">((D192*30)/50)</f>
        <v>24</v>
      </c>
      <c r="F192" s="34">
        <v>46</v>
      </c>
      <c r="G192" s="49">
        <f t="shared" si="199"/>
        <v>27.6</v>
      </c>
      <c r="H192" s="34">
        <v>39</v>
      </c>
      <c r="I192" s="49">
        <f t="shared" si="199"/>
        <v>23.4</v>
      </c>
      <c r="J192" s="49">
        <f t="shared" si="141"/>
        <v>25</v>
      </c>
      <c r="K192" s="34">
        <v>30</v>
      </c>
      <c r="L192" s="54">
        <f t="shared" si="142"/>
        <v>10</v>
      </c>
      <c r="M192" s="34">
        <v>10</v>
      </c>
      <c r="N192" s="34">
        <f t="shared" si="180"/>
        <v>20</v>
      </c>
      <c r="O192" s="34">
        <f t="shared" si="144"/>
        <v>45</v>
      </c>
      <c r="P192" s="56">
        <f t="shared" si="145"/>
        <v>27</v>
      </c>
      <c r="Q192" s="56">
        <f>'Lab Component'!K192</f>
        <v>19</v>
      </c>
      <c r="R192" s="56">
        <f t="shared" si="146"/>
        <v>46</v>
      </c>
      <c r="S192" s="56">
        <f t="shared" si="147"/>
        <v>46</v>
      </c>
      <c r="T192" s="3">
        <v>36</v>
      </c>
      <c r="U192" s="60">
        <v>11</v>
      </c>
      <c r="V192">
        <f t="shared" si="139"/>
        <v>47</v>
      </c>
    </row>
    <row r="193" spans="1:22">
      <c r="A193" s="4">
        <v>181</v>
      </c>
      <c r="B193" s="5" t="s">
        <v>387</v>
      </c>
      <c r="C193" s="13" t="s">
        <v>388</v>
      </c>
      <c r="D193" s="34">
        <v>22</v>
      </c>
      <c r="E193" s="49">
        <f t="shared" ref="E193:I193" si="200">((D193*30)/50)</f>
        <v>13.2</v>
      </c>
      <c r="F193" s="34">
        <v>21</v>
      </c>
      <c r="G193" s="49">
        <f t="shared" si="200"/>
        <v>12.6</v>
      </c>
      <c r="H193" s="34">
        <v>27</v>
      </c>
      <c r="I193" s="49">
        <f t="shared" si="200"/>
        <v>16.2</v>
      </c>
      <c r="J193" s="49">
        <f t="shared" si="141"/>
        <v>14</v>
      </c>
      <c r="K193" s="34">
        <v>30</v>
      </c>
      <c r="L193" s="54">
        <f t="shared" si="142"/>
        <v>10</v>
      </c>
      <c r="M193" s="34">
        <v>8</v>
      </c>
      <c r="N193" s="34">
        <f t="shared" si="180"/>
        <v>18</v>
      </c>
      <c r="O193" s="34">
        <f t="shared" si="144"/>
        <v>32</v>
      </c>
      <c r="P193" s="56">
        <f t="shared" si="145"/>
        <v>19.2</v>
      </c>
      <c r="Q193" s="56">
        <f>'Lab Component'!K193</f>
        <v>18</v>
      </c>
      <c r="R193" s="56">
        <f t="shared" si="146"/>
        <v>37.2</v>
      </c>
      <c r="S193" s="56">
        <f t="shared" si="147"/>
        <v>38</v>
      </c>
      <c r="T193" s="3">
        <v>40</v>
      </c>
      <c r="U193" s="60">
        <v>11</v>
      </c>
      <c r="V193">
        <f t="shared" si="139"/>
        <v>51</v>
      </c>
    </row>
    <row r="194" spans="1:22">
      <c r="A194" s="4">
        <v>182</v>
      </c>
      <c r="B194" s="5" t="s">
        <v>389</v>
      </c>
      <c r="C194" s="13" t="s">
        <v>390</v>
      </c>
      <c r="D194" s="34">
        <v>45</v>
      </c>
      <c r="E194" s="49">
        <f t="shared" ref="E194:I194" si="201">((D194*30)/50)</f>
        <v>27</v>
      </c>
      <c r="F194" s="34">
        <v>36</v>
      </c>
      <c r="G194" s="49">
        <f t="shared" si="201"/>
        <v>21.6</v>
      </c>
      <c r="H194" s="34">
        <v>44</v>
      </c>
      <c r="I194" s="49">
        <f t="shared" si="201"/>
        <v>26.4</v>
      </c>
      <c r="J194" s="49">
        <f t="shared" si="141"/>
        <v>25</v>
      </c>
      <c r="K194" s="34">
        <v>30</v>
      </c>
      <c r="L194" s="54">
        <f t="shared" si="142"/>
        <v>10</v>
      </c>
      <c r="M194" s="34">
        <v>8</v>
      </c>
      <c r="N194" s="34">
        <f t="shared" si="180"/>
        <v>18</v>
      </c>
      <c r="O194" s="56">
        <f t="shared" si="144"/>
        <v>43</v>
      </c>
      <c r="P194" s="56">
        <f t="shared" si="145"/>
        <v>25.8</v>
      </c>
      <c r="Q194" s="56">
        <f>'Lab Component'!K194</f>
        <v>19</v>
      </c>
      <c r="R194" s="56">
        <f t="shared" si="146"/>
        <v>44.8</v>
      </c>
      <c r="S194" s="56">
        <f t="shared" si="147"/>
        <v>45</v>
      </c>
      <c r="T194" s="3">
        <v>36</v>
      </c>
      <c r="U194" s="60">
        <v>11</v>
      </c>
      <c r="V194">
        <f t="shared" si="139"/>
        <v>47</v>
      </c>
    </row>
    <row r="195" spans="1:22">
      <c r="A195" s="4">
        <v>183</v>
      </c>
      <c r="B195" s="5" t="s">
        <v>391</v>
      </c>
      <c r="C195" s="13" t="s">
        <v>392</v>
      </c>
      <c r="D195" s="34">
        <v>40</v>
      </c>
      <c r="E195" s="49">
        <f t="shared" ref="E195:I195" si="202">((D195*30)/50)</f>
        <v>24</v>
      </c>
      <c r="F195" s="34">
        <v>39</v>
      </c>
      <c r="G195" s="49">
        <f t="shared" si="202"/>
        <v>23.4</v>
      </c>
      <c r="H195" s="34">
        <v>44</v>
      </c>
      <c r="I195" s="49">
        <f t="shared" si="202"/>
        <v>26.4</v>
      </c>
      <c r="J195" s="49">
        <f t="shared" si="141"/>
        <v>24.6</v>
      </c>
      <c r="K195" s="34">
        <v>30</v>
      </c>
      <c r="L195" s="54">
        <f t="shared" si="142"/>
        <v>10</v>
      </c>
      <c r="M195" s="34">
        <v>8</v>
      </c>
      <c r="N195" s="34">
        <f t="shared" si="180"/>
        <v>18</v>
      </c>
      <c r="O195" s="56">
        <f t="shared" si="144"/>
        <v>42.6</v>
      </c>
      <c r="P195" s="56">
        <f t="shared" si="145"/>
        <v>25.56</v>
      </c>
      <c r="Q195" s="56">
        <f>'Lab Component'!K195</f>
        <v>18</v>
      </c>
      <c r="R195" s="56">
        <f t="shared" si="146"/>
        <v>43.56</v>
      </c>
      <c r="S195" s="56">
        <f t="shared" si="147"/>
        <v>44</v>
      </c>
      <c r="T195" s="3">
        <v>36</v>
      </c>
      <c r="U195" s="60">
        <v>12</v>
      </c>
      <c r="V195">
        <f t="shared" si="139"/>
        <v>48</v>
      </c>
    </row>
    <row r="196" spans="1:22">
      <c r="A196" s="4">
        <v>184</v>
      </c>
      <c r="B196" s="5" t="s">
        <v>393</v>
      </c>
      <c r="C196" s="13" t="s">
        <v>394</v>
      </c>
      <c r="D196" s="34">
        <v>31</v>
      </c>
      <c r="E196" s="49">
        <f t="shared" ref="E196:I196" si="203">((D196*30)/50)</f>
        <v>18.6</v>
      </c>
      <c r="F196" s="34">
        <v>26</v>
      </c>
      <c r="G196" s="49">
        <f t="shared" si="203"/>
        <v>15.6</v>
      </c>
      <c r="H196" s="34">
        <v>45</v>
      </c>
      <c r="I196" s="49">
        <f t="shared" si="203"/>
        <v>27</v>
      </c>
      <c r="J196" s="49">
        <f t="shared" si="141"/>
        <v>20.4</v>
      </c>
      <c r="K196" s="34">
        <v>30</v>
      </c>
      <c r="L196" s="54">
        <f t="shared" si="142"/>
        <v>10</v>
      </c>
      <c r="M196" s="34">
        <v>8</v>
      </c>
      <c r="N196" s="34">
        <f t="shared" si="180"/>
        <v>18</v>
      </c>
      <c r="O196" s="56">
        <f t="shared" si="144"/>
        <v>38.4</v>
      </c>
      <c r="P196" s="56">
        <f t="shared" si="145"/>
        <v>23.04</v>
      </c>
      <c r="Q196" s="56">
        <f>'Lab Component'!K196</f>
        <v>18</v>
      </c>
      <c r="R196" s="56">
        <f t="shared" si="146"/>
        <v>41.04</v>
      </c>
      <c r="S196" s="56">
        <f t="shared" si="147"/>
        <v>42</v>
      </c>
      <c r="T196" s="3">
        <v>36</v>
      </c>
      <c r="U196" s="60">
        <v>11</v>
      </c>
      <c r="V196">
        <f t="shared" si="139"/>
        <v>47</v>
      </c>
    </row>
    <row r="197" spans="1:22">
      <c r="A197" s="4">
        <v>185</v>
      </c>
      <c r="B197" s="5" t="s">
        <v>395</v>
      </c>
      <c r="C197" s="13" t="s">
        <v>396</v>
      </c>
      <c r="D197" s="34">
        <v>47</v>
      </c>
      <c r="E197" s="49">
        <f t="shared" ref="E197:I197" si="204">((D197*30)/50)</f>
        <v>28.2</v>
      </c>
      <c r="F197" s="34">
        <v>44</v>
      </c>
      <c r="G197" s="49">
        <f t="shared" si="204"/>
        <v>26.4</v>
      </c>
      <c r="H197" s="34">
        <v>46</v>
      </c>
      <c r="I197" s="49">
        <f t="shared" si="204"/>
        <v>27.6</v>
      </c>
      <c r="J197" s="49">
        <f t="shared" si="141"/>
        <v>27.4</v>
      </c>
      <c r="K197" s="34">
        <v>30</v>
      </c>
      <c r="L197" s="54">
        <f t="shared" si="142"/>
        <v>10</v>
      </c>
      <c r="M197" s="34">
        <v>10</v>
      </c>
      <c r="N197" s="34">
        <f t="shared" si="180"/>
        <v>20</v>
      </c>
      <c r="O197" s="56">
        <f t="shared" si="144"/>
        <v>47.4</v>
      </c>
      <c r="P197" s="56">
        <f t="shared" si="145"/>
        <v>28.44</v>
      </c>
      <c r="Q197" s="56">
        <f>'Lab Component'!K197</f>
        <v>20</v>
      </c>
      <c r="R197" s="56">
        <f t="shared" si="146"/>
        <v>48.44</v>
      </c>
      <c r="S197" s="56">
        <f t="shared" si="147"/>
        <v>49</v>
      </c>
      <c r="T197" s="3">
        <v>41</v>
      </c>
      <c r="U197" s="60">
        <v>12</v>
      </c>
      <c r="V197">
        <f t="shared" si="139"/>
        <v>53</v>
      </c>
    </row>
    <row r="198" spans="1:22">
      <c r="A198" s="4">
        <v>186</v>
      </c>
      <c r="B198" s="5" t="s">
        <v>397</v>
      </c>
      <c r="C198" s="13" t="s">
        <v>398</v>
      </c>
      <c r="D198" s="34">
        <v>28</v>
      </c>
      <c r="E198" s="49">
        <f t="shared" ref="E198:I198" si="205">((D198*30)/50)</f>
        <v>16.8</v>
      </c>
      <c r="F198" s="34">
        <v>26</v>
      </c>
      <c r="G198" s="49">
        <f t="shared" si="205"/>
        <v>15.6</v>
      </c>
      <c r="H198" s="34">
        <v>38</v>
      </c>
      <c r="I198" s="49">
        <f t="shared" si="205"/>
        <v>22.8</v>
      </c>
      <c r="J198" s="49">
        <f t="shared" si="141"/>
        <v>18.4</v>
      </c>
      <c r="K198" s="34">
        <v>30</v>
      </c>
      <c r="L198" s="54">
        <f t="shared" si="142"/>
        <v>10</v>
      </c>
      <c r="M198" s="34">
        <v>7</v>
      </c>
      <c r="N198" s="34">
        <f t="shared" si="180"/>
        <v>17</v>
      </c>
      <c r="O198" s="56">
        <f t="shared" si="144"/>
        <v>35.4</v>
      </c>
      <c r="P198" s="56">
        <f t="shared" si="145"/>
        <v>21.24</v>
      </c>
      <c r="Q198" s="56">
        <f>'Lab Component'!K198</f>
        <v>18</v>
      </c>
      <c r="R198" s="56">
        <f t="shared" si="146"/>
        <v>39.24</v>
      </c>
      <c r="S198" s="56">
        <f t="shared" si="147"/>
        <v>40</v>
      </c>
      <c r="T198" s="3">
        <v>38</v>
      </c>
      <c r="U198" s="60">
        <v>11</v>
      </c>
      <c r="V198">
        <f t="shared" si="139"/>
        <v>49</v>
      </c>
    </row>
    <row r="199" spans="1:22">
      <c r="A199" s="4">
        <v>187</v>
      </c>
      <c r="B199" s="5" t="s">
        <v>399</v>
      </c>
      <c r="C199" s="13" t="s">
        <v>400</v>
      </c>
      <c r="D199" s="34">
        <v>35</v>
      </c>
      <c r="E199" s="49">
        <f t="shared" ref="E199:I199" si="206">((D199*30)/50)</f>
        <v>21</v>
      </c>
      <c r="F199" s="34">
        <v>37</v>
      </c>
      <c r="G199" s="49">
        <f t="shared" si="206"/>
        <v>22.2</v>
      </c>
      <c r="H199" s="34">
        <v>44</v>
      </c>
      <c r="I199" s="49">
        <f t="shared" si="206"/>
        <v>26.4</v>
      </c>
      <c r="J199" s="49">
        <f t="shared" si="141"/>
        <v>23.2</v>
      </c>
      <c r="K199" s="34">
        <v>30</v>
      </c>
      <c r="L199" s="54">
        <f t="shared" si="142"/>
        <v>10</v>
      </c>
      <c r="M199" s="34">
        <v>8</v>
      </c>
      <c r="N199" s="34">
        <f t="shared" si="180"/>
        <v>18</v>
      </c>
      <c r="O199" s="56">
        <f t="shared" si="144"/>
        <v>41.2</v>
      </c>
      <c r="P199" s="56">
        <f t="shared" si="145"/>
        <v>24.72</v>
      </c>
      <c r="Q199" s="56">
        <f>'Lab Component'!K199</f>
        <v>19</v>
      </c>
      <c r="R199" s="56">
        <f t="shared" si="146"/>
        <v>43.72</v>
      </c>
      <c r="S199" s="56">
        <f t="shared" si="147"/>
        <v>44</v>
      </c>
      <c r="T199" s="3">
        <v>36</v>
      </c>
      <c r="U199" s="60">
        <v>11</v>
      </c>
      <c r="V199">
        <f t="shared" si="139"/>
        <v>47</v>
      </c>
    </row>
    <row r="200" spans="1:22">
      <c r="A200" s="4">
        <v>188</v>
      </c>
      <c r="B200" s="5" t="s">
        <v>401</v>
      </c>
      <c r="C200" s="13" t="s">
        <v>402</v>
      </c>
      <c r="D200" s="34">
        <v>25</v>
      </c>
      <c r="E200" s="49">
        <f t="shared" ref="E200:I200" si="207">((D200*30)/50)</f>
        <v>15</v>
      </c>
      <c r="F200" s="34">
        <v>22</v>
      </c>
      <c r="G200" s="49">
        <f t="shared" si="207"/>
        <v>13.2</v>
      </c>
      <c r="H200" s="34">
        <v>16</v>
      </c>
      <c r="I200" s="49">
        <f t="shared" si="207"/>
        <v>9.6</v>
      </c>
      <c r="J200" s="49">
        <f t="shared" si="141"/>
        <v>12.6</v>
      </c>
      <c r="K200" s="34">
        <v>30</v>
      </c>
      <c r="L200" s="54">
        <f t="shared" si="142"/>
        <v>10</v>
      </c>
      <c r="M200" s="34">
        <v>7</v>
      </c>
      <c r="N200" s="34">
        <f t="shared" si="180"/>
        <v>17</v>
      </c>
      <c r="O200" s="56">
        <f t="shared" si="144"/>
        <v>29.6</v>
      </c>
      <c r="P200" s="56">
        <f t="shared" si="145"/>
        <v>17.76</v>
      </c>
      <c r="Q200" s="56">
        <f>'Lab Component'!K200</f>
        <v>17</v>
      </c>
      <c r="R200" s="56">
        <f t="shared" si="146"/>
        <v>34.76</v>
      </c>
      <c r="S200" s="56">
        <f t="shared" si="147"/>
        <v>35</v>
      </c>
      <c r="T200" s="3">
        <v>36</v>
      </c>
      <c r="U200" s="60">
        <v>11</v>
      </c>
      <c r="V200">
        <f t="shared" si="139"/>
        <v>47</v>
      </c>
    </row>
    <row r="201" spans="1:22">
      <c r="A201" s="4">
        <v>189</v>
      </c>
      <c r="B201" s="5" t="s">
        <v>403</v>
      </c>
      <c r="C201" s="13" t="s">
        <v>404</v>
      </c>
      <c r="D201" s="34">
        <v>46</v>
      </c>
      <c r="E201" s="49">
        <f t="shared" ref="E201:I201" si="208">((D201*30)/50)</f>
        <v>27.6</v>
      </c>
      <c r="F201" s="34">
        <v>42</v>
      </c>
      <c r="G201" s="49">
        <f t="shared" si="208"/>
        <v>25.2</v>
      </c>
      <c r="H201" s="34">
        <v>45</v>
      </c>
      <c r="I201" s="49">
        <f t="shared" si="208"/>
        <v>27</v>
      </c>
      <c r="J201" s="49">
        <f t="shared" si="141"/>
        <v>26.6</v>
      </c>
      <c r="K201" s="34">
        <v>30</v>
      </c>
      <c r="L201" s="54">
        <f t="shared" si="142"/>
        <v>10</v>
      </c>
      <c r="M201" s="34">
        <v>9</v>
      </c>
      <c r="N201" s="34">
        <f t="shared" si="180"/>
        <v>19</v>
      </c>
      <c r="O201" s="34">
        <f t="shared" si="144"/>
        <v>45.6</v>
      </c>
      <c r="P201" s="56">
        <f t="shared" si="145"/>
        <v>27.36</v>
      </c>
      <c r="Q201" s="56">
        <f>'Lab Component'!K201</f>
        <v>18</v>
      </c>
      <c r="R201" s="56">
        <f t="shared" si="146"/>
        <v>45.36</v>
      </c>
      <c r="S201" s="56">
        <f t="shared" si="147"/>
        <v>46</v>
      </c>
      <c r="T201" s="3">
        <v>36</v>
      </c>
      <c r="U201" s="60">
        <v>12</v>
      </c>
      <c r="V201">
        <f t="shared" si="139"/>
        <v>48</v>
      </c>
    </row>
    <row r="202" spans="1:20">
      <c r="A202" s="4">
        <v>190</v>
      </c>
      <c r="B202" s="4" t="s">
        <v>405</v>
      </c>
      <c r="C202" s="14" t="s">
        <v>406</v>
      </c>
      <c r="D202" s="34"/>
      <c r="E202" s="49">
        <f t="shared" ref="E202:I202" si="209">((D202*30)/50)</f>
        <v>0</v>
      </c>
      <c r="F202" s="34"/>
      <c r="G202" s="49">
        <f t="shared" si="209"/>
        <v>0</v>
      </c>
      <c r="H202" s="34"/>
      <c r="I202" s="49">
        <f t="shared" si="209"/>
        <v>0</v>
      </c>
      <c r="J202" s="49">
        <f t="shared" si="141"/>
        <v>0</v>
      </c>
      <c r="K202" s="34">
        <v>30</v>
      </c>
      <c r="L202" s="54">
        <f t="shared" si="142"/>
        <v>10</v>
      </c>
      <c r="M202" s="34">
        <v>10</v>
      </c>
      <c r="N202" s="34">
        <f t="shared" si="180"/>
        <v>20</v>
      </c>
      <c r="O202" s="34">
        <f t="shared" si="144"/>
        <v>20</v>
      </c>
      <c r="P202" s="56">
        <f t="shared" si="145"/>
        <v>12</v>
      </c>
      <c r="Q202" s="56">
        <f>'Lab Component'!K202</f>
        <v>20</v>
      </c>
      <c r="R202" s="56">
        <f t="shared" si="146"/>
        <v>32</v>
      </c>
      <c r="S202" s="56">
        <f t="shared" si="147"/>
        <v>32</v>
      </c>
      <c r="T202" s="3">
        <v>36</v>
      </c>
    </row>
    <row r="203" spans="1:20">
      <c r="A203" s="4">
        <v>191</v>
      </c>
      <c r="B203" s="4" t="s">
        <v>407</v>
      </c>
      <c r="C203" s="14" t="s">
        <v>408</v>
      </c>
      <c r="D203" s="34"/>
      <c r="E203" s="49">
        <f t="shared" ref="E203:I203" si="210">((D203*30)/50)</f>
        <v>0</v>
      </c>
      <c r="F203" s="34"/>
      <c r="G203" s="49">
        <f t="shared" si="210"/>
        <v>0</v>
      </c>
      <c r="H203" s="34"/>
      <c r="I203" s="49">
        <f t="shared" si="210"/>
        <v>0</v>
      </c>
      <c r="J203" s="49">
        <f t="shared" si="141"/>
        <v>0</v>
      </c>
      <c r="K203" s="34">
        <v>30</v>
      </c>
      <c r="L203" s="54">
        <f t="shared" si="142"/>
        <v>10</v>
      </c>
      <c r="M203" s="34"/>
      <c r="N203" s="34"/>
      <c r="O203" s="56">
        <f t="shared" si="144"/>
        <v>10</v>
      </c>
      <c r="P203" s="56">
        <f t="shared" si="145"/>
        <v>6</v>
      </c>
      <c r="Q203" s="56">
        <f>'Lab Component'!K203</f>
        <v>20</v>
      </c>
      <c r="R203" s="56">
        <f t="shared" si="146"/>
        <v>26</v>
      </c>
      <c r="S203" s="56">
        <f t="shared" si="147"/>
        <v>26</v>
      </c>
      <c r="T203" s="3">
        <v>36</v>
      </c>
    </row>
    <row r="204" spans="1:20">
      <c r="A204" s="4">
        <v>192</v>
      </c>
      <c r="B204" s="4" t="s">
        <v>409</v>
      </c>
      <c r="C204" s="14" t="s">
        <v>410</v>
      </c>
      <c r="D204" s="34">
        <v>25</v>
      </c>
      <c r="E204" s="49">
        <f t="shared" ref="E204:I204" si="211">((D204*30)/50)</f>
        <v>15</v>
      </c>
      <c r="F204" s="34">
        <v>36</v>
      </c>
      <c r="G204" s="49">
        <f t="shared" si="211"/>
        <v>21.6</v>
      </c>
      <c r="H204" s="34">
        <v>29</v>
      </c>
      <c r="I204" s="49">
        <f t="shared" si="211"/>
        <v>17.4</v>
      </c>
      <c r="J204" s="49">
        <f t="shared" si="141"/>
        <v>18</v>
      </c>
      <c r="K204" s="34">
        <v>30</v>
      </c>
      <c r="L204" s="54">
        <f t="shared" si="142"/>
        <v>10</v>
      </c>
      <c r="M204" s="34">
        <v>7</v>
      </c>
      <c r="N204" s="34">
        <f>SUM(L204:M204)</f>
        <v>17</v>
      </c>
      <c r="O204" s="56">
        <f t="shared" si="144"/>
        <v>35</v>
      </c>
      <c r="P204" s="56">
        <f t="shared" si="145"/>
        <v>21</v>
      </c>
      <c r="Q204" s="56">
        <f>'Lab Component'!K204</f>
        <v>18</v>
      </c>
      <c r="R204" s="56">
        <f t="shared" si="146"/>
        <v>39</v>
      </c>
      <c r="S204" s="56">
        <f t="shared" si="147"/>
        <v>39</v>
      </c>
      <c r="T204" s="3"/>
    </row>
    <row r="205" spans="1:22">
      <c r="A205" s="4">
        <v>193</v>
      </c>
      <c r="B205" s="4" t="s">
        <v>411</v>
      </c>
      <c r="C205" s="14" t="s">
        <v>412</v>
      </c>
      <c r="D205" s="34"/>
      <c r="E205" s="49">
        <f t="shared" ref="E205:I205" si="212">((D205*30)/50)</f>
        <v>0</v>
      </c>
      <c r="F205" s="34"/>
      <c r="G205" s="49">
        <f t="shared" si="212"/>
        <v>0</v>
      </c>
      <c r="H205" s="34"/>
      <c r="I205" s="49">
        <f t="shared" si="212"/>
        <v>0</v>
      </c>
      <c r="J205" s="49">
        <f t="shared" ref="J205:J219" si="213">((E205+G205+I205)/3)</f>
        <v>0</v>
      </c>
      <c r="K205" s="34">
        <v>30</v>
      </c>
      <c r="L205" s="54">
        <f t="shared" ref="L205:L219" si="214">((K205*10)/30)</f>
        <v>10</v>
      </c>
      <c r="M205" s="34"/>
      <c r="N205" s="34"/>
      <c r="O205" s="56">
        <f t="shared" ref="O205:O219" si="215">SUM(J205,L205,M205)</f>
        <v>10</v>
      </c>
      <c r="P205" s="56">
        <f t="shared" ref="P205:P219" si="216">(O205/50)*30</f>
        <v>6</v>
      </c>
      <c r="Q205" s="56">
        <f>'Lab Component'!K205</f>
        <v>19</v>
      </c>
      <c r="R205" s="56">
        <f t="shared" ref="R205:R219" si="217">(P205+Q205)</f>
        <v>25</v>
      </c>
      <c r="S205" s="56">
        <f t="shared" ref="S205:S219" si="218">ROUNDUP(R205,0)</f>
        <v>25</v>
      </c>
      <c r="T205" s="3">
        <v>36</v>
      </c>
      <c r="U205">
        <v>11</v>
      </c>
      <c r="V205">
        <f>SUM(T205:U205)</f>
        <v>47</v>
      </c>
    </row>
    <row r="206" spans="1:22">
      <c r="A206" s="4">
        <v>194</v>
      </c>
      <c r="B206" s="4" t="s">
        <v>413</v>
      </c>
      <c r="C206" s="14" t="s">
        <v>414</v>
      </c>
      <c r="D206" s="34">
        <v>24</v>
      </c>
      <c r="E206" s="49">
        <f t="shared" ref="E206:I206" si="219">((D206*30)/50)</f>
        <v>14.4</v>
      </c>
      <c r="F206" s="34">
        <v>42</v>
      </c>
      <c r="G206" s="49">
        <f t="shared" si="219"/>
        <v>25.2</v>
      </c>
      <c r="H206" s="34"/>
      <c r="I206" s="49">
        <f t="shared" si="219"/>
        <v>0</v>
      </c>
      <c r="J206" s="49">
        <f t="shared" si="213"/>
        <v>13.2</v>
      </c>
      <c r="K206" s="34">
        <v>30</v>
      </c>
      <c r="L206" s="54">
        <f t="shared" si="214"/>
        <v>10</v>
      </c>
      <c r="M206" s="34">
        <v>7</v>
      </c>
      <c r="N206" s="34">
        <f>SUM(L206:M206)</f>
        <v>17</v>
      </c>
      <c r="O206" s="56">
        <f t="shared" si="215"/>
        <v>30.2</v>
      </c>
      <c r="P206" s="56">
        <f t="shared" si="216"/>
        <v>18.12</v>
      </c>
      <c r="Q206" s="56">
        <f>'Lab Component'!K206</f>
        <v>18</v>
      </c>
      <c r="R206" s="56">
        <f t="shared" si="217"/>
        <v>36.12</v>
      </c>
      <c r="S206" s="56">
        <f t="shared" si="218"/>
        <v>37</v>
      </c>
      <c r="T206" s="3">
        <v>37</v>
      </c>
      <c r="U206">
        <v>12</v>
      </c>
      <c r="V206">
        <f>SUM(T206:U206)</f>
        <v>49</v>
      </c>
    </row>
    <row r="207" spans="1:20">
      <c r="A207" s="4">
        <v>195</v>
      </c>
      <c r="B207" s="4" t="s">
        <v>415</v>
      </c>
      <c r="C207" s="14" t="s">
        <v>416</v>
      </c>
      <c r="D207" s="34"/>
      <c r="E207" s="49">
        <f t="shared" ref="E207:I207" si="220">((D207*30)/50)</f>
        <v>0</v>
      </c>
      <c r="F207" s="34"/>
      <c r="G207" s="49">
        <f t="shared" si="220"/>
        <v>0</v>
      </c>
      <c r="H207" s="34"/>
      <c r="I207" s="49">
        <f t="shared" si="220"/>
        <v>0</v>
      </c>
      <c r="J207" s="49">
        <f t="shared" si="213"/>
        <v>0</v>
      </c>
      <c r="K207" s="34">
        <v>30</v>
      </c>
      <c r="L207" s="54">
        <f t="shared" si="214"/>
        <v>10</v>
      </c>
      <c r="M207" s="34"/>
      <c r="N207" s="34"/>
      <c r="O207" s="56">
        <f t="shared" si="215"/>
        <v>10</v>
      </c>
      <c r="P207" s="56">
        <f t="shared" si="216"/>
        <v>6</v>
      </c>
      <c r="Q207" s="56">
        <f>'Lab Component'!K207</f>
        <v>19</v>
      </c>
      <c r="R207" s="56">
        <f t="shared" si="217"/>
        <v>25</v>
      </c>
      <c r="S207" s="56">
        <f t="shared" si="218"/>
        <v>25</v>
      </c>
      <c r="T207" s="3"/>
    </row>
    <row r="208" spans="1:20">
      <c r="A208" s="4">
        <v>196</v>
      </c>
      <c r="B208" s="4" t="s">
        <v>417</v>
      </c>
      <c r="C208" s="14" t="s">
        <v>418</v>
      </c>
      <c r="D208" s="34"/>
      <c r="E208" s="49">
        <f t="shared" ref="E208:I208" si="221">((D208*30)/50)</f>
        <v>0</v>
      </c>
      <c r="F208" s="34"/>
      <c r="G208" s="49">
        <f t="shared" si="221"/>
        <v>0</v>
      </c>
      <c r="H208" s="34"/>
      <c r="I208" s="49">
        <f t="shared" si="221"/>
        <v>0</v>
      </c>
      <c r="J208" s="49">
        <f t="shared" si="213"/>
        <v>0</v>
      </c>
      <c r="K208" s="34">
        <v>30</v>
      </c>
      <c r="L208" s="54">
        <f t="shared" si="214"/>
        <v>10</v>
      </c>
      <c r="M208" s="34"/>
      <c r="N208" s="34"/>
      <c r="O208" s="56">
        <f t="shared" si="215"/>
        <v>10</v>
      </c>
      <c r="P208" s="56">
        <f t="shared" si="216"/>
        <v>6</v>
      </c>
      <c r="Q208" s="56">
        <f>'Lab Component'!K208</f>
        <v>19</v>
      </c>
      <c r="R208" s="56">
        <f t="shared" si="217"/>
        <v>25</v>
      </c>
      <c r="S208" s="56">
        <f t="shared" si="218"/>
        <v>25</v>
      </c>
      <c r="T208" s="3"/>
    </row>
    <row r="209" spans="1:20">
      <c r="A209" s="4">
        <v>197</v>
      </c>
      <c r="B209" s="4" t="s">
        <v>419</v>
      </c>
      <c r="C209" s="14" t="s">
        <v>420</v>
      </c>
      <c r="D209" s="34"/>
      <c r="E209" s="49">
        <f t="shared" ref="E209:I209" si="222">((D209*30)/50)</f>
        <v>0</v>
      </c>
      <c r="F209" s="34"/>
      <c r="G209" s="49">
        <f t="shared" si="222"/>
        <v>0</v>
      </c>
      <c r="H209" s="34"/>
      <c r="I209" s="49">
        <f t="shared" si="222"/>
        <v>0</v>
      </c>
      <c r="J209" s="49">
        <f t="shared" si="213"/>
        <v>0</v>
      </c>
      <c r="K209" s="34">
        <v>30</v>
      </c>
      <c r="L209" s="54">
        <f t="shared" si="214"/>
        <v>10</v>
      </c>
      <c r="M209" s="34"/>
      <c r="N209" s="34"/>
      <c r="O209" s="56">
        <f t="shared" si="215"/>
        <v>10</v>
      </c>
      <c r="P209" s="56">
        <f t="shared" si="216"/>
        <v>6</v>
      </c>
      <c r="Q209" s="56">
        <f>'Lab Component'!K209</f>
        <v>20</v>
      </c>
      <c r="R209" s="56">
        <f t="shared" si="217"/>
        <v>26</v>
      </c>
      <c r="S209" s="56">
        <f t="shared" si="218"/>
        <v>26</v>
      </c>
      <c r="T209" s="3"/>
    </row>
    <row r="210" spans="1:20">
      <c r="A210" s="4">
        <v>198</v>
      </c>
      <c r="B210" s="4" t="s">
        <v>421</v>
      </c>
      <c r="C210" s="14" t="s">
        <v>422</v>
      </c>
      <c r="D210" s="34">
        <v>48</v>
      </c>
      <c r="E210" s="49">
        <f t="shared" ref="E210:I210" si="223">((D210*30)/50)</f>
        <v>28.8</v>
      </c>
      <c r="F210" s="34">
        <v>43</v>
      </c>
      <c r="G210" s="49">
        <f t="shared" si="223"/>
        <v>25.8</v>
      </c>
      <c r="H210" s="34">
        <v>43</v>
      </c>
      <c r="I210" s="49">
        <f t="shared" si="223"/>
        <v>25.8</v>
      </c>
      <c r="J210" s="49">
        <f t="shared" si="213"/>
        <v>26.8</v>
      </c>
      <c r="K210" s="34">
        <v>30</v>
      </c>
      <c r="L210" s="54">
        <f t="shared" si="214"/>
        <v>10</v>
      </c>
      <c r="M210" s="34">
        <v>9.5</v>
      </c>
      <c r="N210" s="34">
        <f>SUM(L210:M210)</f>
        <v>19.5</v>
      </c>
      <c r="O210" s="34">
        <f t="shared" si="215"/>
        <v>46.3</v>
      </c>
      <c r="P210" s="56">
        <f t="shared" si="216"/>
        <v>27.78</v>
      </c>
      <c r="Q210" s="56">
        <f>'Lab Component'!K210</f>
        <v>18</v>
      </c>
      <c r="R210" s="56">
        <f t="shared" si="217"/>
        <v>45.78</v>
      </c>
      <c r="S210" s="56">
        <f t="shared" si="218"/>
        <v>46</v>
      </c>
      <c r="T210" s="3">
        <v>36</v>
      </c>
    </row>
    <row r="211" spans="1:20">
      <c r="A211" s="4">
        <v>199</v>
      </c>
      <c r="B211" s="4" t="s">
        <v>423</v>
      </c>
      <c r="C211" s="14" t="s">
        <v>424</v>
      </c>
      <c r="D211" s="34">
        <v>35</v>
      </c>
      <c r="E211" s="49">
        <f t="shared" ref="E211:I211" si="224">((D211*30)/50)</f>
        <v>21</v>
      </c>
      <c r="F211" s="34">
        <v>32</v>
      </c>
      <c r="G211" s="49">
        <f t="shared" si="224"/>
        <v>19.2</v>
      </c>
      <c r="H211" s="34">
        <v>43</v>
      </c>
      <c r="I211" s="49">
        <f t="shared" si="224"/>
        <v>25.8</v>
      </c>
      <c r="J211" s="49">
        <f t="shared" si="213"/>
        <v>22</v>
      </c>
      <c r="K211" s="34">
        <v>30</v>
      </c>
      <c r="L211" s="54">
        <f t="shared" si="214"/>
        <v>10</v>
      </c>
      <c r="M211" s="34">
        <v>10</v>
      </c>
      <c r="N211" s="34"/>
      <c r="O211" s="34">
        <f t="shared" si="215"/>
        <v>42</v>
      </c>
      <c r="P211" s="56">
        <f t="shared" si="216"/>
        <v>25.2</v>
      </c>
      <c r="Q211" s="56">
        <f>'Lab Component'!K211</f>
        <v>18</v>
      </c>
      <c r="R211" s="56">
        <f t="shared" si="217"/>
        <v>43.2</v>
      </c>
      <c r="S211" s="56">
        <f t="shared" si="218"/>
        <v>44</v>
      </c>
      <c r="T211" s="3">
        <v>36</v>
      </c>
    </row>
    <row r="212" spans="1:22">
      <c r="A212" s="4">
        <v>200</v>
      </c>
      <c r="B212" s="4" t="s">
        <v>425</v>
      </c>
      <c r="C212" s="14" t="s">
        <v>426</v>
      </c>
      <c r="D212" s="34">
        <v>35</v>
      </c>
      <c r="E212" s="49">
        <f t="shared" ref="E212:I212" si="225">((D212*30)/50)</f>
        <v>21</v>
      </c>
      <c r="F212" s="34">
        <v>39</v>
      </c>
      <c r="G212" s="49">
        <f t="shared" si="225"/>
        <v>23.4</v>
      </c>
      <c r="H212" s="34">
        <v>26</v>
      </c>
      <c r="I212" s="49">
        <f t="shared" si="225"/>
        <v>15.6</v>
      </c>
      <c r="J212" s="49">
        <f t="shared" si="213"/>
        <v>20</v>
      </c>
      <c r="K212" s="34">
        <v>30</v>
      </c>
      <c r="L212" s="54">
        <f t="shared" si="214"/>
        <v>10</v>
      </c>
      <c r="M212" s="34">
        <v>8</v>
      </c>
      <c r="N212" s="34">
        <f>SUM(L212:M212)</f>
        <v>18</v>
      </c>
      <c r="O212" s="56">
        <f t="shared" si="215"/>
        <v>38</v>
      </c>
      <c r="P212" s="56">
        <f t="shared" si="216"/>
        <v>22.8</v>
      </c>
      <c r="Q212" s="56">
        <f>'Lab Component'!K212</f>
        <v>19</v>
      </c>
      <c r="R212" s="56">
        <f t="shared" si="217"/>
        <v>41.8</v>
      </c>
      <c r="S212" s="56">
        <f t="shared" si="218"/>
        <v>42</v>
      </c>
      <c r="T212" s="3">
        <v>36</v>
      </c>
      <c r="U212">
        <v>11</v>
      </c>
      <c r="V212">
        <f>SUM(T212:U212)</f>
        <v>47</v>
      </c>
    </row>
    <row r="213" spans="1:20">
      <c r="A213" s="4">
        <v>201</v>
      </c>
      <c r="B213" s="4" t="s">
        <v>427</v>
      </c>
      <c r="C213" s="14" t="s">
        <v>428</v>
      </c>
      <c r="D213" s="34">
        <v>45</v>
      </c>
      <c r="E213" s="49">
        <f t="shared" ref="E213:I213" si="226">((D213*30)/50)</f>
        <v>27</v>
      </c>
      <c r="F213" s="34">
        <v>34</v>
      </c>
      <c r="G213" s="49">
        <f t="shared" si="226"/>
        <v>20.4</v>
      </c>
      <c r="H213" s="34">
        <v>38</v>
      </c>
      <c r="I213" s="49">
        <f t="shared" si="226"/>
        <v>22.8</v>
      </c>
      <c r="J213" s="49">
        <f t="shared" si="213"/>
        <v>23.4</v>
      </c>
      <c r="K213" s="34">
        <v>30</v>
      </c>
      <c r="L213" s="54">
        <f t="shared" si="214"/>
        <v>10</v>
      </c>
      <c r="M213" s="34">
        <v>10</v>
      </c>
      <c r="N213" s="34"/>
      <c r="O213" s="56">
        <f t="shared" si="215"/>
        <v>43.4</v>
      </c>
      <c r="P213" s="56">
        <f t="shared" si="216"/>
        <v>26.04</v>
      </c>
      <c r="Q213" s="56">
        <f>'Lab Component'!K213</f>
        <v>19</v>
      </c>
      <c r="R213" s="56">
        <f t="shared" si="217"/>
        <v>45.04</v>
      </c>
      <c r="S213" s="56">
        <f t="shared" si="218"/>
        <v>46</v>
      </c>
      <c r="T213" s="3">
        <v>36</v>
      </c>
    </row>
    <row r="214" spans="1:20">
      <c r="A214" s="4">
        <v>202</v>
      </c>
      <c r="B214" s="4" t="s">
        <v>429</v>
      </c>
      <c r="C214" s="14" t="s">
        <v>430</v>
      </c>
      <c r="D214" s="34">
        <v>50</v>
      </c>
      <c r="E214" s="49">
        <f t="shared" ref="E214:I214" si="227">((D214*30)/50)</f>
        <v>30</v>
      </c>
      <c r="F214" s="34">
        <v>45</v>
      </c>
      <c r="G214" s="49">
        <f t="shared" si="227"/>
        <v>27</v>
      </c>
      <c r="H214" s="34">
        <v>50</v>
      </c>
      <c r="I214" s="49">
        <f t="shared" si="227"/>
        <v>30</v>
      </c>
      <c r="J214" s="49">
        <f t="shared" si="213"/>
        <v>29</v>
      </c>
      <c r="K214" s="34">
        <v>30</v>
      </c>
      <c r="L214" s="54">
        <f t="shared" si="214"/>
        <v>10</v>
      </c>
      <c r="M214" s="34">
        <v>10</v>
      </c>
      <c r="N214" s="34"/>
      <c r="O214" s="56">
        <f t="shared" si="215"/>
        <v>49</v>
      </c>
      <c r="P214" s="56">
        <f t="shared" si="216"/>
        <v>29.4</v>
      </c>
      <c r="Q214" s="56">
        <f>'Lab Component'!K214</f>
        <v>19</v>
      </c>
      <c r="R214" s="56">
        <f t="shared" si="217"/>
        <v>48.4</v>
      </c>
      <c r="S214" s="56">
        <f t="shared" si="218"/>
        <v>49</v>
      </c>
      <c r="T214" s="3">
        <v>37</v>
      </c>
    </row>
    <row r="215" spans="1:20">
      <c r="A215" s="4">
        <v>203</v>
      </c>
      <c r="B215" s="4" t="s">
        <v>431</v>
      </c>
      <c r="C215" s="14" t="s">
        <v>432</v>
      </c>
      <c r="D215" s="34">
        <v>40</v>
      </c>
      <c r="E215" s="49">
        <f t="shared" ref="E215:I215" si="228">((D215*30)/50)</f>
        <v>24</v>
      </c>
      <c r="F215" s="34">
        <v>45</v>
      </c>
      <c r="G215" s="49">
        <f t="shared" si="228"/>
        <v>27</v>
      </c>
      <c r="H215" s="34">
        <v>38</v>
      </c>
      <c r="I215" s="49">
        <f t="shared" si="228"/>
        <v>22.8</v>
      </c>
      <c r="J215" s="49">
        <f t="shared" si="213"/>
        <v>24.6</v>
      </c>
      <c r="K215" s="34">
        <v>30</v>
      </c>
      <c r="L215" s="54">
        <f t="shared" si="214"/>
        <v>10</v>
      </c>
      <c r="M215" s="34">
        <v>10</v>
      </c>
      <c r="N215" s="34"/>
      <c r="O215" s="56">
        <f t="shared" si="215"/>
        <v>44.6</v>
      </c>
      <c r="P215" s="56">
        <f t="shared" si="216"/>
        <v>26.76</v>
      </c>
      <c r="Q215" s="56">
        <f>'Lab Component'!K215</f>
        <v>19</v>
      </c>
      <c r="R215" s="56">
        <f t="shared" si="217"/>
        <v>45.76</v>
      </c>
      <c r="S215" s="56">
        <f t="shared" si="218"/>
        <v>46</v>
      </c>
      <c r="T215" s="3">
        <v>38</v>
      </c>
    </row>
    <row r="216" spans="1:20">
      <c r="A216" s="4">
        <v>204</v>
      </c>
      <c r="B216" s="4" t="s">
        <v>433</v>
      </c>
      <c r="C216" s="14" t="s">
        <v>434</v>
      </c>
      <c r="D216" s="34">
        <v>29</v>
      </c>
      <c r="E216" s="49">
        <f t="shared" ref="E216:I216" si="229">((D216*30)/50)</f>
        <v>17.4</v>
      </c>
      <c r="F216" s="34">
        <v>42</v>
      </c>
      <c r="G216" s="49">
        <f t="shared" si="229"/>
        <v>25.2</v>
      </c>
      <c r="H216" s="34">
        <v>47</v>
      </c>
      <c r="I216" s="49">
        <f t="shared" si="229"/>
        <v>28.2</v>
      </c>
      <c r="J216" s="49">
        <f t="shared" si="213"/>
        <v>23.6</v>
      </c>
      <c r="K216" s="34">
        <v>30</v>
      </c>
      <c r="L216" s="54">
        <f t="shared" si="214"/>
        <v>10</v>
      </c>
      <c r="M216" s="34">
        <v>10</v>
      </c>
      <c r="N216" s="34"/>
      <c r="O216" s="56">
        <f t="shared" si="215"/>
        <v>43.6</v>
      </c>
      <c r="P216" s="56">
        <f t="shared" si="216"/>
        <v>26.16</v>
      </c>
      <c r="Q216" s="56">
        <f>'Lab Component'!K216</f>
        <v>19</v>
      </c>
      <c r="R216" s="56">
        <f t="shared" si="217"/>
        <v>45.16</v>
      </c>
      <c r="S216" s="56">
        <f t="shared" si="218"/>
        <v>46</v>
      </c>
      <c r="T216" s="3">
        <v>38</v>
      </c>
    </row>
    <row r="217" spans="1:22">
      <c r="A217" s="4">
        <v>205</v>
      </c>
      <c r="B217" s="4" t="s">
        <v>435</v>
      </c>
      <c r="C217" s="14" t="s">
        <v>436</v>
      </c>
      <c r="D217" s="34">
        <v>39</v>
      </c>
      <c r="E217" s="49">
        <f t="shared" ref="E217:I217" si="230">((D217*30)/50)</f>
        <v>23.4</v>
      </c>
      <c r="F217" s="34">
        <v>26</v>
      </c>
      <c r="G217" s="49">
        <f t="shared" si="230"/>
        <v>15.6</v>
      </c>
      <c r="H217" s="34">
        <v>24</v>
      </c>
      <c r="I217" s="49">
        <f t="shared" si="230"/>
        <v>14.4</v>
      </c>
      <c r="J217" s="49">
        <f t="shared" si="213"/>
        <v>17.8</v>
      </c>
      <c r="K217" s="34">
        <v>30</v>
      </c>
      <c r="L217" s="54">
        <f t="shared" si="214"/>
        <v>10</v>
      </c>
      <c r="M217" s="34">
        <v>8</v>
      </c>
      <c r="N217" s="34">
        <f>SUM(L217:M217)</f>
        <v>18</v>
      </c>
      <c r="O217" s="56">
        <f t="shared" si="215"/>
        <v>35.8</v>
      </c>
      <c r="P217" s="56">
        <f t="shared" si="216"/>
        <v>21.48</v>
      </c>
      <c r="Q217" s="56">
        <f>'Lab Component'!K217</f>
        <v>19</v>
      </c>
      <c r="R217" s="56">
        <f t="shared" si="217"/>
        <v>40.48</v>
      </c>
      <c r="S217" s="56">
        <f t="shared" si="218"/>
        <v>41</v>
      </c>
      <c r="T217" s="3">
        <v>36</v>
      </c>
      <c r="U217">
        <v>11</v>
      </c>
      <c r="V217">
        <f t="shared" ref="V217:V219" si="231">SUM(T217:U217)</f>
        <v>47</v>
      </c>
    </row>
    <row r="218" spans="1:22">
      <c r="A218" s="4">
        <v>206</v>
      </c>
      <c r="B218" s="4" t="s">
        <v>437</v>
      </c>
      <c r="C218" s="14" t="s">
        <v>438</v>
      </c>
      <c r="D218" s="34">
        <v>32</v>
      </c>
      <c r="E218" s="49">
        <f t="shared" ref="E218:I218" si="232">((D218*30)/50)</f>
        <v>19.2</v>
      </c>
      <c r="F218" s="34">
        <v>25</v>
      </c>
      <c r="G218" s="49">
        <f t="shared" si="232"/>
        <v>15</v>
      </c>
      <c r="H218" s="34">
        <v>45</v>
      </c>
      <c r="I218" s="49">
        <f t="shared" si="232"/>
        <v>27</v>
      </c>
      <c r="J218" s="49">
        <f t="shared" si="213"/>
        <v>20.4</v>
      </c>
      <c r="K218" s="34">
        <v>30</v>
      </c>
      <c r="L218" s="54">
        <f>((K218*10)/30)</f>
        <v>10</v>
      </c>
      <c r="M218" s="34">
        <v>9</v>
      </c>
      <c r="N218" s="34">
        <f>SUM(L218:M218)</f>
        <v>19</v>
      </c>
      <c r="O218" s="56">
        <f t="shared" si="215"/>
        <v>39.4</v>
      </c>
      <c r="P218" s="56">
        <f t="shared" si="216"/>
        <v>23.64</v>
      </c>
      <c r="Q218" s="56">
        <f>'Lab Component'!K218</f>
        <v>18</v>
      </c>
      <c r="R218" s="56">
        <f t="shared" si="217"/>
        <v>41.64</v>
      </c>
      <c r="S218" s="56">
        <f t="shared" si="218"/>
        <v>42</v>
      </c>
      <c r="T218" s="3">
        <v>37</v>
      </c>
      <c r="U218">
        <v>12</v>
      </c>
      <c r="V218">
        <f t="shared" si="231"/>
        <v>49</v>
      </c>
    </row>
    <row r="219" spans="1:22">
      <c r="A219" s="4">
        <v>207</v>
      </c>
      <c r="B219" s="4" t="s">
        <v>439</v>
      </c>
      <c r="C219" s="14" t="s">
        <v>440</v>
      </c>
      <c r="D219" s="34">
        <v>25</v>
      </c>
      <c r="E219" s="49">
        <f t="shared" ref="E219:I219" si="233">((D219*30)/50)</f>
        <v>15</v>
      </c>
      <c r="F219" s="34">
        <v>35</v>
      </c>
      <c r="G219" s="49">
        <f t="shared" si="233"/>
        <v>21</v>
      </c>
      <c r="H219" s="34">
        <v>25</v>
      </c>
      <c r="I219" s="49">
        <f t="shared" si="233"/>
        <v>15</v>
      </c>
      <c r="J219" s="49">
        <f t="shared" si="213"/>
        <v>17</v>
      </c>
      <c r="K219" s="34">
        <v>30</v>
      </c>
      <c r="L219" s="54">
        <f t="shared" si="214"/>
        <v>10</v>
      </c>
      <c r="M219" s="34">
        <v>7</v>
      </c>
      <c r="N219" s="34">
        <f>SUM(L219:M219)</f>
        <v>17</v>
      </c>
      <c r="O219" s="34">
        <f t="shared" si="215"/>
        <v>34</v>
      </c>
      <c r="P219" s="56">
        <f t="shared" si="216"/>
        <v>20.4</v>
      </c>
      <c r="Q219" s="56">
        <f>'Lab Component'!K219</f>
        <v>18</v>
      </c>
      <c r="R219" s="56">
        <f t="shared" si="217"/>
        <v>38.4</v>
      </c>
      <c r="S219" s="56">
        <f t="shared" si="218"/>
        <v>39</v>
      </c>
      <c r="T219" s="3">
        <v>38</v>
      </c>
      <c r="U219">
        <v>13</v>
      </c>
      <c r="V219">
        <f t="shared" si="231"/>
        <v>51</v>
      </c>
    </row>
  </sheetData>
  <mergeCells count="6">
    <mergeCell ref="C7:M7"/>
    <mergeCell ref="C9:D9"/>
    <mergeCell ref="E9:F9"/>
    <mergeCell ref="C10:D10"/>
    <mergeCell ref="E10:F10"/>
    <mergeCell ref="G10:H10"/>
  </mergeCells>
  <pageMargins left="0.7" right="0.7" top="0.75" bottom="0.75" header="0.3" footer="0.3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927"/>
  <sheetViews>
    <sheetView topLeftCell="A49" workbookViewId="0">
      <selection activeCell="H56" sqref="H56:H76"/>
    </sheetView>
  </sheetViews>
  <sheetFormatPr defaultColWidth="14.4285714285714" defaultRowHeight="15" customHeight="1"/>
  <cols>
    <col min="1" max="2" width="8.71428571428571" style="36" customWidth="1"/>
    <col min="3" max="3" width="6.28571428571429" style="36" customWidth="1"/>
    <col min="4" max="4" width="16" style="36" customWidth="1"/>
    <col min="5" max="5" width="29" style="36" customWidth="1"/>
    <col min="6" max="7" width="16.7142857142857" style="36" customWidth="1"/>
    <col min="8" max="8" width="22.7142857142857" style="36" customWidth="1"/>
    <col min="9" max="9" width="22.8571428571429" style="36" customWidth="1"/>
    <col min="10" max="10" width="14.5714285714286" style="36" customWidth="1"/>
    <col min="11" max="16" width="8.71428571428571" style="36" customWidth="1"/>
    <col min="17" max="18" width="9.57142857142857" style="36" customWidth="1"/>
    <col min="19" max="24" width="8.71428571428571" style="36" customWidth="1"/>
    <col min="25" max="16384" width="14.4285714285714" style="36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 spans="3:8">
      <c r="C7" s="37" t="s">
        <v>442</v>
      </c>
      <c r="D7" s="37"/>
      <c r="E7" s="37"/>
      <c r="F7" s="37"/>
      <c r="G7" s="37"/>
      <c r="H7" s="37"/>
    </row>
    <row r="8" ht="14.25" customHeight="1" spans="3:14">
      <c r="C8" s="38"/>
      <c r="D8" s="38"/>
      <c r="E8" s="38"/>
      <c r="F8" s="38"/>
      <c r="G8" s="38"/>
      <c r="H8" s="38"/>
      <c r="I8" s="38"/>
      <c r="J8" s="38"/>
      <c r="K8" s="38"/>
      <c r="L8" s="38"/>
      <c r="M8" s="38"/>
      <c r="N8" s="38"/>
    </row>
    <row r="9" ht="14.25" customHeight="1" spans="3:14">
      <c r="C9" s="38"/>
      <c r="D9" s="39" t="s">
        <v>1</v>
      </c>
      <c r="E9" s="39"/>
      <c r="F9" s="38"/>
      <c r="G9" s="38"/>
      <c r="H9" s="38"/>
      <c r="I9" s="38"/>
      <c r="J9" s="38"/>
      <c r="K9" s="38"/>
      <c r="L9" s="38"/>
      <c r="M9" s="38"/>
      <c r="N9" s="38"/>
    </row>
    <row r="10" ht="14.25" customHeight="1" spans="4:7">
      <c r="D10" s="39" t="s">
        <v>3</v>
      </c>
      <c r="E10" s="39"/>
      <c r="F10" s="38"/>
      <c r="G10" s="38"/>
    </row>
    <row r="11" ht="14.25" customHeight="1" spans="4:7">
      <c r="D11" s="38"/>
      <c r="G11" s="38"/>
    </row>
    <row r="12" ht="57" spans="1:24">
      <c r="A12" s="38"/>
      <c r="B12" s="38"/>
      <c r="C12" s="39" t="s">
        <v>443</v>
      </c>
      <c r="D12" s="39" t="s">
        <v>6</v>
      </c>
      <c r="E12" s="39" t="s">
        <v>7</v>
      </c>
      <c r="F12" s="40" t="s">
        <v>444</v>
      </c>
      <c r="G12" s="40" t="s">
        <v>445</v>
      </c>
      <c r="H12" s="41" t="s">
        <v>446</v>
      </c>
      <c r="I12" s="41" t="s">
        <v>447</v>
      </c>
      <c r="J12" s="37" t="s">
        <v>448</v>
      </c>
      <c r="K12" s="45" t="s">
        <v>449</v>
      </c>
      <c r="L12" s="45"/>
      <c r="M12" s="45"/>
      <c r="N12" s="45"/>
      <c r="O12" s="45"/>
      <c r="P12" s="45"/>
      <c r="Q12" s="45"/>
      <c r="R12" s="45"/>
      <c r="S12" s="38"/>
      <c r="T12" s="38"/>
      <c r="U12" s="38"/>
      <c r="V12" s="38"/>
      <c r="W12" s="38"/>
      <c r="X12" s="38"/>
    </row>
    <row r="13" ht="14.25" customHeight="1" spans="3:18">
      <c r="C13" s="42">
        <v>1</v>
      </c>
      <c r="D13" s="5" t="s">
        <v>26</v>
      </c>
      <c r="E13" s="13" t="s">
        <v>27</v>
      </c>
      <c r="F13" s="43">
        <f>Lab_CIE!P11</f>
        <v>29.1</v>
      </c>
      <c r="G13" s="43">
        <f>Lab_CIA!I11</f>
        <v>44</v>
      </c>
      <c r="H13" s="44">
        <f>((G13*20)/50)</f>
        <v>17.6</v>
      </c>
      <c r="I13" s="44">
        <f>SUM(F13,H13)</f>
        <v>46.7</v>
      </c>
      <c r="J13" s="46">
        <f>((I13*20)/50)</f>
        <v>18.68</v>
      </c>
      <c r="K13" s="47">
        <f>ROUNDUP(J13,0)</f>
        <v>19</v>
      </c>
      <c r="L13" s="47"/>
      <c r="M13" s="47"/>
      <c r="N13" s="47"/>
      <c r="O13" s="47"/>
      <c r="P13" s="47"/>
      <c r="Q13" s="47"/>
      <c r="R13" s="47"/>
    </row>
    <row r="14" ht="14.25" customHeight="1" spans="3:18">
      <c r="C14" s="42">
        <v>2</v>
      </c>
      <c r="D14" s="5" t="s">
        <v>28</v>
      </c>
      <c r="E14" s="13" t="s">
        <v>29</v>
      </c>
      <c r="F14" s="43">
        <f>Lab_CIE!P12</f>
        <v>29.1</v>
      </c>
      <c r="G14" s="43">
        <f>Lab_CIA!I12</f>
        <v>48</v>
      </c>
      <c r="H14" s="44">
        <f t="shared" ref="H14:H77" si="0">((G14*20)/50)</f>
        <v>19.2</v>
      </c>
      <c r="I14" s="44">
        <f t="shared" ref="I14:I77" si="1">SUM(F14,H14)</f>
        <v>48.3</v>
      </c>
      <c r="J14" s="46">
        <f t="shared" ref="J14:J77" si="2">((I14*20)/50)</f>
        <v>19.32</v>
      </c>
      <c r="K14" s="47">
        <f t="shared" ref="K14:K77" si="3">ROUNDUP(J14,0)</f>
        <v>20</v>
      </c>
      <c r="L14" s="47"/>
      <c r="M14" s="47"/>
      <c r="N14" s="47"/>
      <c r="O14" s="47"/>
      <c r="P14" s="47"/>
      <c r="Q14" s="47"/>
      <c r="R14" s="47"/>
    </row>
    <row r="15" ht="14.25" customHeight="1" spans="3:18">
      <c r="C15" s="42">
        <v>3</v>
      </c>
      <c r="D15" s="5" t="s">
        <v>30</v>
      </c>
      <c r="E15" s="13" t="s">
        <v>31</v>
      </c>
      <c r="F15" s="43">
        <f>Lab_CIE!P13</f>
        <v>29.1</v>
      </c>
      <c r="G15" s="43">
        <f>Lab_CIA!I13</f>
        <v>48</v>
      </c>
      <c r="H15" s="44">
        <f t="shared" si="0"/>
        <v>19.2</v>
      </c>
      <c r="I15" s="44">
        <f t="shared" si="1"/>
        <v>48.3</v>
      </c>
      <c r="J15" s="46">
        <f t="shared" si="2"/>
        <v>19.32</v>
      </c>
      <c r="K15" s="47">
        <f t="shared" si="3"/>
        <v>20</v>
      </c>
      <c r="L15" s="47"/>
      <c r="M15" s="47"/>
      <c r="N15" s="47"/>
      <c r="O15" s="47"/>
      <c r="P15" s="47"/>
      <c r="Q15" s="47"/>
      <c r="R15" s="47"/>
    </row>
    <row r="16" ht="14.25" customHeight="1" spans="3:18">
      <c r="C16" s="42">
        <v>4</v>
      </c>
      <c r="D16" s="5" t="s">
        <v>32</v>
      </c>
      <c r="E16" s="13" t="s">
        <v>33</v>
      </c>
      <c r="F16" s="43">
        <f>Lab_CIE!P14</f>
        <v>28.9</v>
      </c>
      <c r="G16" s="43">
        <f>Lab_CIA!I14</f>
        <v>50</v>
      </c>
      <c r="H16" s="44">
        <f t="shared" si="0"/>
        <v>20</v>
      </c>
      <c r="I16" s="44">
        <f t="shared" si="1"/>
        <v>48.9</v>
      </c>
      <c r="J16" s="46">
        <f t="shared" si="2"/>
        <v>19.56</v>
      </c>
      <c r="K16" s="47">
        <f t="shared" si="3"/>
        <v>20</v>
      </c>
      <c r="L16" s="47"/>
      <c r="M16" s="47"/>
      <c r="N16" s="47"/>
      <c r="O16" s="47"/>
      <c r="P16" s="47"/>
      <c r="Q16" s="47"/>
      <c r="R16" s="47"/>
    </row>
    <row r="17" spans="3:18">
      <c r="C17" s="42">
        <v>5</v>
      </c>
      <c r="D17" s="5" t="s">
        <v>34</v>
      </c>
      <c r="E17" s="13" t="s">
        <v>35</v>
      </c>
      <c r="F17" s="43">
        <f>Lab_CIE!P15</f>
        <v>29</v>
      </c>
      <c r="G17" s="43">
        <f>Lab_CIA!I15</f>
        <v>44</v>
      </c>
      <c r="H17" s="44">
        <f t="shared" si="0"/>
        <v>17.6</v>
      </c>
      <c r="I17" s="44">
        <f t="shared" si="1"/>
        <v>46.6</v>
      </c>
      <c r="J17" s="46">
        <f t="shared" si="2"/>
        <v>18.64</v>
      </c>
      <c r="K17" s="47">
        <f t="shared" si="3"/>
        <v>19</v>
      </c>
      <c r="L17" s="47"/>
      <c r="M17" s="47"/>
      <c r="N17" s="47"/>
      <c r="O17" s="47"/>
      <c r="P17" s="47"/>
      <c r="Q17" s="47"/>
      <c r="R17" s="47"/>
    </row>
    <row r="18" spans="3:18">
      <c r="C18" s="42">
        <v>6</v>
      </c>
      <c r="D18" s="5" t="s">
        <v>36</v>
      </c>
      <c r="E18" s="13" t="s">
        <v>37</v>
      </c>
      <c r="F18" s="43">
        <f>Lab_CIE!P16</f>
        <v>28.2</v>
      </c>
      <c r="G18" s="43">
        <f>Lab_CIA!I16</f>
        <v>48</v>
      </c>
      <c r="H18" s="44">
        <f t="shared" si="0"/>
        <v>19.2</v>
      </c>
      <c r="I18" s="44">
        <f t="shared" si="1"/>
        <v>47.4</v>
      </c>
      <c r="J18" s="46">
        <f t="shared" si="2"/>
        <v>18.96</v>
      </c>
      <c r="K18" s="47">
        <f t="shared" si="3"/>
        <v>19</v>
      </c>
      <c r="L18" s="47"/>
      <c r="M18" s="47"/>
      <c r="N18" s="47"/>
      <c r="O18" s="47"/>
      <c r="P18" s="47"/>
      <c r="Q18" s="47"/>
      <c r="R18" s="47"/>
    </row>
    <row r="19" spans="3:18">
      <c r="C19" s="42">
        <v>7</v>
      </c>
      <c r="D19" s="5" t="s">
        <v>38</v>
      </c>
      <c r="E19" s="13" t="s">
        <v>39</v>
      </c>
      <c r="F19" s="43">
        <f>Lab_CIE!P17</f>
        <v>28.9</v>
      </c>
      <c r="G19" s="43">
        <f>Lab_CIA!I17</f>
        <v>46</v>
      </c>
      <c r="H19" s="44">
        <f t="shared" si="0"/>
        <v>18.4</v>
      </c>
      <c r="I19" s="44">
        <f t="shared" si="1"/>
        <v>47.3</v>
      </c>
      <c r="J19" s="46">
        <f t="shared" si="2"/>
        <v>18.92</v>
      </c>
      <c r="K19" s="47">
        <f t="shared" si="3"/>
        <v>19</v>
      </c>
      <c r="L19" s="47"/>
      <c r="M19" s="47"/>
      <c r="N19" s="47"/>
      <c r="O19" s="47"/>
      <c r="P19" s="47"/>
      <c r="Q19" s="47"/>
      <c r="R19" s="47"/>
    </row>
    <row r="20" spans="3:18">
      <c r="C20" s="42">
        <v>8</v>
      </c>
      <c r="D20" s="5" t="s">
        <v>40</v>
      </c>
      <c r="E20" s="13" t="s">
        <v>41</v>
      </c>
      <c r="F20" s="43">
        <f>Lab_CIE!P18</f>
        <v>28.9</v>
      </c>
      <c r="G20" s="43">
        <f>Lab_CIA!I18</f>
        <v>48</v>
      </c>
      <c r="H20" s="44">
        <f t="shared" si="0"/>
        <v>19.2</v>
      </c>
      <c r="I20" s="44">
        <f t="shared" si="1"/>
        <v>48.1</v>
      </c>
      <c r="J20" s="46">
        <f t="shared" si="2"/>
        <v>19.24</v>
      </c>
      <c r="K20" s="47">
        <f t="shared" si="3"/>
        <v>20</v>
      </c>
      <c r="L20" s="47"/>
      <c r="M20" s="47"/>
      <c r="N20" s="47"/>
      <c r="O20" s="47"/>
      <c r="P20" s="47"/>
      <c r="Q20" s="47"/>
      <c r="R20" s="47"/>
    </row>
    <row r="21" spans="3:18">
      <c r="C21" s="42">
        <v>9</v>
      </c>
      <c r="D21" s="5" t="s">
        <v>42</v>
      </c>
      <c r="E21" s="13" t="s">
        <v>43</v>
      </c>
      <c r="F21" s="43">
        <f>Lab_CIE!P19</f>
        <v>28.9</v>
      </c>
      <c r="G21" s="43">
        <f>Lab_CIA!I19</f>
        <v>45</v>
      </c>
      <c r="H21" s="44">
        <f t="shared" si="0"/>
        <v>18</v>
      </c>
      <c r="I21" s="44">
        <f t="shared" si="1"/>
        <v>46.9</v>
      </c>
      <c r="J21" s="46">
        <f t="shared" si="2"/>
        <v>18.76</v>
      </c>
      <c r="K21" s="47">
        <f t="shared" si="3"/>
        <v>19</v>
      </c>
      <c r="L21" s="47"/>
      <c r="M21" s="47"/>
      <c r="N21" s="47"/>
      <c r="O21" s="47"/>
      <c r="P21" s="47"/>
      <c r="Q21" s="47"/>
      <c r="R21" s="47"/>
    </row>
    <row r="22" spans="3:18">
      <c r="C22" s="42">
        <v>10</v>
      </c>
      <c r="D22" s="5" t="s">
        <v>44</v>
      </c>
      <c r="E22" s="13" t="s">
        <v>45</v>
      </c>
      <c r="F22" s="43">
        <f>Lab_CIE!P20</f>
        <v>28.8</v>
      </c>
      <c r="G22" s="43">
        <f>Lab_CIA!I20</f>
        <v>48</v>
      </c>
      <c r="H22" s="44">
        <f t="shared" si="0"/>
        <v>19.2</v>
      </c>
      <c r="I22" s="44">
        <f t="shared" si="1"/>
        <v>48</v>
      </c>
      <c r="J22" s="46">
        <f t="shared" si="2"/>
        <v>19.2</v>
      </c>
      <c r="K22" s="47">
        <f t="shared" si="3"/>
        <v>20</v>
      </c>
      <c r="L22" s="47"/>
      <c r="M22" s="47"/>
      <c r="N22" s="47"/>
      <c r="O22" s="47"/>
      <c r="P22" s="47"/>
      <c r="Q22" s="47"/>
      <c r="R22" s="47"/>
    </row>
    <row r="23" spans="3:18">
      <c r="C23" s="42">
        <v>11</v>
      </c>
      <c r="D23" s="5" t="s">
        <v>46</v>
      </c>
      <c r="E23" s="13" t="s">
        <v>47</v>
      </c>
      <c r="F23" s="43">
        <f>Lab_CIE!P21</f>
        <v>28.7</v>
      </c>
      <c r="G23" s="43">
        <f>Lab_CIA!I21</f>
        <v>46</v>
      </c>
      <c r="H23" s="44">
        <f t="shared" si="0"/>
        <v>18.4</v>
      </c>
      <c r="I23" s="44">
        <f t="shared" si="1"/>
        <v>47.1</v>
      </c>
      <c r="J23" s="46">
        <f t="shared" si="2"/>
        <v>18.84</v>
      </c>
      <c r="K23" s="47">
        <f t="shared" si="3"/>
        <v>19</v>
      </c>
      <c r="L23" s="47"/>
      <c r="M23" s="47"/>
      <c r="N23" s="47"/>
      <c r="O23" s="47"/>
      <c r="P23" s="47"/>
      <c r="Q23" s="47"/>
      <c r="R23" s="47"/>
    </row>
    <row r="24" spans="3:18">
      <c r="C24" s="42">
        <v>12</v>
      </c>
      <c r="D24" s="5" t="s">
        <v>48</v>
      </c>
      <c r="E24" s="13" t="s">
        <v>49</v>
      </c>
      <c r="F24" s="43">
        <f>Lab_CIE!P22</f>
        <v>28.7</v>
      </c>
      <c r="G24" s="43">
        <f>Lab_CIA!I22</f>
        <v>42</v>
      </c>
      <c r="H24" s="44">
        <f t="shared" si="0"/>
        <v>16.8</v>
      </c>
      <c r="I24" s="44">
        <f t="shared" si="1"/>
        <v>45.5</v>
      </c>
      <c r="J24" s="46">
        <f t="shared" si="2"/>
        <v>18.2</v>
      </c>
      <c r="K24" s="47">
        <f t="shared" si="3"/>
        <v>19</v>
      </c>
      <c r="L24" s="47"/>
      <c r="M24" s="47"/>
      <c r="N24" s="47"/>
      <c r="O24" s="47"/>
      <c r="P24" s="47"/>
      <c r="Q24" s="47"/>
      <c r="R24" s="47"/>
    </row>
    <row r="25" spans="3:18">
      <c r="C25" s="42">
        <v>13</v>
      </c>
      <c r="D25" s="5" t="s">
        <v>50</v>
      </c>
      <c r="E25" s="13" t="s">
        <v>51</v>
      </c>
      <c r="F25" s="43">
        <f>Lab_CIE!P23</f>
        <v>28.9</v>
      </c>
      <c r="G25" s="43">
        <f>Lab_CIA!I23</f>
        <v>48</v>
      </c>
      <c r="H25" s="44">
        <f t="shared" si="0"/>
        <v>19.2</v>
      </c>
      <c r="I25" s="44">
        <f t="shared" si="1"/>
        <v>48.1</v>
      </c>
      <c r="J25" s="46">
        <f t="shared" si="2"/>
        <v>19.24</v>
      </c>
      <c r="K25" s="47">
        <f t="shared" si="3"/>
        <v>20</v>
      </c>
      <c r="L25" s="47"/>
      <c r="M25" s="47"/>
      <c r="N25" s="47"/>
      <c r="O25" s="47"/>
      <c r="P25" s="47"/>
      <c r="Q25" s="47"/>
      <c r="R25" s="47"/>
    </row>
    <row r="26" spans="3:18">
      <c r="C26" s="42">
        <v>14</v>
      </c>
      <c r="D26" s="5" t="s">
        <v>52</v>
      </c>
      <c r="E26" s="13" t="s">
        <v>53</v>
      </c>
      <c r="F26" s="43">
        <f>Lab_CIE!P24</f>
        <v>29</v>
      </c>
      <c r="G26" s="43">
        <f>Lab_CIA!I24</f>
        <v>46</v>
      </c>
      <c r="H26" s="44">
        <f t="shared" si="0"/>
        <v>18.4</v>
      </c>
      <c r="I26" s="44">
        <f t="shared" si="1"/>
        <v>47.4</v>
      </c>
      <c r="J26" s="46">
        <f t="shared" si="2"/>
        <v>18.96</v>
      </c>
      <c r="K26" s="47">
        <f t="shared" si="3"/>
        <v>19</v>
      </c>
      <c r="L26" s="47"/>
      <c r="M26" s="47"/>
      <c r="N26" s="47"/>
      <c r="O26" s="47"/>
      <c r="P26" s="47"/>
      <c r="Q26" s="47"/>
      <c r="R26" s="47"/>
    </row>
    <row r="27" spans="3:18">
      <c r="C27" s="42">
        <v>15</v>
      </c>
      <c r="D27" s="5" t="s">
        <v>54</v>
      </c>
      <c r="E27" s="13" t="s">
        <v>55</v>
      </c>
      <c r="F27" s="43">
        <f>Lab_CIE!P25</f>
        <v>29.3</v>
      </c>
      <c r="G27" s="43">
        <f>Lab_CIA!I25</f>
        <v>48</v>
      </c>
      <c r="H27" s="44">
        <f t="shared" si="0"/>
        <v>19.2</v>
      </c>
      <c r="I27" s="44">
        <f t="shared" si="1"/>
        <v>48.5</v>
      </c>
      <c r="J27" s="46">
        <f t="shared" si="2"/>
        <v>19.4</v>
      </c>
      <c r="K27" s="47">
        <f t="shared" si="3"/>
        <v>20</v>
      </c>
      <c r="L27" s="47"/>
      <c r="M27" s="47"/>
      <c r="N27" s="47"/>
      <c r="O27" s="47"/>
      <c r="P27" s="47"/>
      <c r="Q27" s="47"/>
      <c r="R27" s="47"/>
    </row>
    <row r="28" spans="3:18">
      <c r="C28" s="42">
        <v>16</v>
      </c>
      <c r="D28" s="5" t="s">
        <v>56</v>
      </c>
      <c r="E28" s="13" t="s">
        <v>57</v>
      </c>
      <c r="F28" s="43">
        <f>Lab_CIE!P26</f>
        <v>29.6</v>
      </c>
      <c r="G28" s="43">
        <f>Lab_CIA!I26</f>
        <v>46</v>
      </c>
      <c r="H28" s="44">
        <f t="shared" si="0"/>
        <v>18.4</v>
      </c>
      <c r="I28" s="44">
        <f t="shared" si="1"/>
        <v>48</v>
      </c>
      <c r="J28" s="46">
        <f t="shared" si="2"/>
        <v>19.2</v>
      </c>
      <c r="K28" s="47">
        <f t="shared" si="3"/>
        <v>20</v>
      </c>
      <c r="L28" s="47"/>
      <c r="M28" s="47"/>
      <c r="N28" s="47"/>
      <c r="O28" s="47"/>
      <c r="P28" s="47"/>
      <c r="Q28" s="47"/>
      <c r="R28" s="47"/>
    </row>
    <row r="29" spans="3:18">
      <c r="C29" s="42">
        <v>17</v>
      </c>
      <c r="D29" s="5" t="s">
        <v>58</v>
      </c>
      <c r="E29" s="13" t="s">
        <v>59</v>
      </c>
      <c r="F29" s="43">
        <f>Lab_CIE!P27</f>
        <v>29.5</v>
      </c>
      <c r="G29" s="43">
        <f>Lab_CIA!I27</f>
        <v>48</v>
      </c>
      <c r="H29" s="44">
        <f t="shared" si="0"/>
        <v>19.2</v>
      </c>
      <c r="I29" s="44">
        <f t="shared" si="1"/>
        <v>48.7</v>
      </c>
      <c r="J29" s="46">
        <f t="shared" si="2"/>
        <v>19.48</v>
      </c>
      <c r="K29" s="47">
        <f t="shared" si="3"/>
        <v>20</v>
      </c>
      <c r="L29" s="47"/>
      <c r="M29" s="47"/>
      <c r="N29" s="47"/>
      <c r="O29" s="47"/>
      <c r="P29" s="47"/>
      <c r="Q29" s="47"/>
      <c r="R29" s="47"/>
    </row>
    <row r="30" spans="3:18">
      <c r="C30" s="42">
        <v>18</v>
      </c>
      <c r="D30" s="5" t="s">
        <v>60</v>
      </c>
      <c r="E30" s="13" t="s">
        <v>61</v>
      </c>
      <c r="F30" s="43">
        <f>Lab_CIE!P28</f>
        <v>29.2</v>
      </c>
      <c r="G30" s="43">
        <f>Lab_CIA!I28</f>
        <v>46</v>
      </c>
      <c r="H30" s="44">
        <f t="shared" si="0"/>
        <v>18.4</v>
      </c>
      <c r="I30" s="44">
        <f t="shared" si="1"/>
        <v>47.6</v>
      </c>
      <c r="J30" s="46">
        <f t="shared" si="2"/>
        <v>19.04</v>
      </c>
      <c r="K30" s="47">
        <f t="shared" si="3"/>
        <v>20</v>
      </c>
      <c r="L30" s="47"/>
      <c r="M30" s="47"/>
      <c r="N30" s="47"/>
      <c r="O30" s="47"/>
      <c r="P30" s="47"/>
      <c r="Q30" s="47"/>
      <c r="R30" s="47"/>
    </row>
    <row r="31" spans="3:18">
      <c r="C31" s="42">
        <v>19</v>
      </c>
      <c r="D31" s="5" t="s">
        <v>62</v>
      </c>
      <c r="E31" s="13" t="s">
        <v>63</v>
      </c>
      <c r="F31" s="43">
        <f>Lab_CIE!P29</f>
        <v>29.1</v>
      </c>
      <c r="G31" s="43">
        <f>Lab_CIA!I29</f>
        <v>48</v>
      </c>
      <c r="H31" s="44">
        <f t="shared" si="0"/>
        <v>19.2</v>
      </c>
      <c r="I31" s="44">
        <f t="shared" si="1"/>
        <v>48.3</v>
      </c>
      <c r="J31" s="46">
        <f t="shared" si="2"/>
        <v>19.32</v>
      </c>
      <c r="K31" s="47">
        <f t="shared" si="3"/>
        <v>20</v>
      </c>
      <c r="L31" s="47"/>
      <c r="M31" s="47"/>
      <c r="N31" s="47"/>
      <c r="O31" s="47"/>
      <c r="P31" s="47"/>
      <c r="Q31" s="47"/>
      <c r="R31" s="47"/>
    </row>
    <row r="32" spans="3:18">
      <c r="C32" s="42">
        <v>20</v>
      </c>
      <c r="D32" s="5" t="s">
        <v>64</v>
      </c>
      <c r="E32" s="13" t="s">
        <v>65</v>
      </c>
      <c r="F32" s="43">
        <f>Lab_CIE!P30</f>
        <v>29.1</v>
      </c>
      <c r="G32" s="43">
        <f>Lab_CIA!I30</f>
        <v>44</v>
      </c>
      <c r="H32" s="44">
        <f t="shared" si="0"/>
        <v>17.6</v>
      </c>
      <c r="I32" s="44">
        <f t="shared" si="1"/>
        <v>46.7</v>
      </c>
      <c r="J32" s="46">
        <f t="shared" si="2"/>
        <v>18.68</v>
      </c>
      <c r="K32" s="47">
        <f t="shared" si="3"/>
        <v>19</v>
      </c>
      <c r="L32" s="47"/>
      <c r="M32" s="47"/>
      <c r="N32" s="47"/>
      <c r="O32" s="47"/>
      <c r="P32" s="47"/>
      <c r="Q32" s="47"/>
      <c r="R32" s="47"/>
    </row>
    <row r="33" spans="3:18">
      <c r="C33" s="42">
        <v>21</v>
      </c>
      <c r="D33" s="5" t="s">
        <v>66</v>
      </c>
      <c r="E33" s="13" t="s">
        <v>67</v>
      </c>
      <c r="F33" s="43">
        <f>Lab_CIE!P31</f>
        <v>29.1</v>
      </c>
      <c r="G33" s="43">
        <f>Lab_CIA!I31</f>
        <v>48</v>
      </c>
      <c r="H33" s="44">
        <f t="shared" si="0"/>
        <v>19.2</v>
      </c>
      <c r="I33" s="44">
        <f t="shared" si="1"/>
        <v>48.3</v>
      </c>
      <c r="J33" s="46">
        <f t="shared" si="2"/>
        <v>19.32</v>
      </c>
      <c r="K33" s="47">
        <f t="shared" si="3"/>
        <v>20</v>
      </c>
      <c r="L33" s="47"/>
      <c r="M33" s="47"/>
      <c r="N33" s="47"/>
      <c r="O33" s="47"/>
      <c r="P33" s="47"/>
      <c r="Q33" s="47"/>
      <c r="R33" s="47"/>
    </row>
    <row r="34" spans="3:18">
      <c r="C34" s="42">
        <v>22</v>
      </c>
      <c r="D34" s="5" t="s">
        <v>68</v>
      </c>
      <c r="E34" s="13" t="s">
        <v>69</v>
      </c>
      <c r="F34" s="43">
        <f>Lab_CIE!P32</f>
        <v>29.1</v>
      </c>
      <c r="G34" s="43">
        <f>Lab_CIA!I32</f>
        <v>46</v>
      </c>
      <c r="H34" s="44">
        <f t="shared" si="0"/>
        <v>18.4</v>
      </c>
      <c r="I34" s="44">
        <f t="shared" si="1"/>
        <v>47.5</v>
      </c>
      <c r="J34" s="46">
        <f t="shared" si="2"/>
        <v>19</v>
      </c>
      <c r="K34" s="47">
        <f t="shared" si="3"/>
        <v>19</v>
      </c>
      <c r="L34" s="47"/>
      <c r="M34" s="47"/>
      <c r="N34" s="47"/>
      <c r="O34" s="47"/>
      <c r="P34" s="47"/>
      <c r="Q34" s="47"/>
      <c r="R34" s="47"/>
    </row>
    <row r="35" spans="3:18">
      <c r="C35" s="42">
        <v>23</v>
      </c>
      <c r="D35" s="5" t="s">
        <v>70</v>
      </c>
      <c r="E35" s="13" t="s">
        <v>71</v>
      </c>
      <c r="F35" s="43">
        <f>Lab_CIE!P33</f>
        <v>28.7</v>
      </c>
      <c r="G35" s="43">
        <f>Lab_CIA!I33</f>
        <v>42</v>
      </c>
      <c r="H35" s="44">
        <f t="shared" si="0"/>
        <v>16.8</v>
      </c>
      <c r="I35" s="44">
        <f t="shared" si="1"/>
        <v>45.5</v>
      </c>
      <c r="J35" s="46">
        <f t="shared" si="2"/>
        <v>18.2</v>
      </c>
      <c r="K35" s="47">
        <f t="shared" si="3"/>
        <v>19</v>
      </c>
      <c r="L35" s="47"/>
      <c r="M35" s="47"/>
      <c r="N35" s="47"/>
      <c r="O35" s="47"/>
      <c r="P35" s="47"/>
      <c r="Q35" s="47"/>
      <c r="R35" s="47"/>
    </row>
    <row r="36" spans="3:18">
      <c r="C36" s="42">
        <v>24</v>
      </c>
      <c r="D36" s="5" t="s">
        <v>72</v>
      </c>
      <c r="E36" s="13" t="s">
        <v>73</v>
      </c>
      <c r="F36" s="43">
        <f>Lab_CIE!P34</f>
        <v>28.7</v>
      </c>
      <c r="G36" s="43">
        <f>Lab_CIA!I34</f>
        <v>44</v>
      </c>
      <c r="H36" s="44">
        <f t="shared" si="0"/>
        <v>17.6</v>
      </c>
      <c r="I36" s="44">
        <f t="shared" si="1"/>
        <v>46.3</v>
      </c>
      <c r="J36" s="46">
        <f t="shared" si="2"/>
        <v>18.52</v>
      </c>
      <c r="K36" s="47">
        <f t="shared" si="3"/>
        <v>19</v>
      </c>
      <c r="L36" s="47"/>
      <c r="M36" s="47"/>
      <c r="N36" s="47"/>
      <c r="O36" s="47"/>
      <c r="P36" s="47"/>
      <c r="Q36" s="47"/>
      <c r="R36" s="47"/>
    </row>
    <row r="37" spans="3:18">
      <c r="C37" s="42">
        <v>25</v>
      </c>
      <c r="D37" s="5" t="s">
        <v>74</v>
      </c>
      <c r="E37" s="13" t="s">
        <v>75</v>
      </c>
      <c r="F37" s="43">
        <f>Lab_CIE!P35</f>
        <v>29.5</v>
      </c>
      <c r="G37" s="43">
        <f>Lab_CIA!I35</f>
        <v>48</v>
      </c>
      <c r="H37" s="44">
        <f t="shared" si="0"/>
        <v>19.2</v>
      </c>
      <c r="I37" s="44">
        <f t="shared" si="1"/>
        <v>48.7</v>
      </c>
      <c r="J37" s="46">
        <f t="shared" si="2"/>
        <v>19.48</v>
      </c>
      <c r="K37" s="47">
        <f t="shared" si="3"/>
        <v>20</v>
      </c>
      <c r="L37" s="47"/>
      <c r="M37" s="47"/>
      <c r="N37" s="47"/>
      <c r="O37" s="47"/>
      <c r="P37" s="47"/>
      <c r="Q37" s="47"/>
      <c r="R37" s="47"/>
    </row>
    <row r="38" spans="3:18">
      <c r="C38" s="42">
        <v>26</v>
      </c>
      <c r="D38" s="5" t="s">
        <v>76</v>
      </c>
      <c r="E38" s="13" t="s">
        <v>77</v>
      </c>
      <c r="F38" s="43">
        <f>Lab_CIE!P36</f>
        <v>29.3</v>
      </c>
      <c r="G38" s="43">
        <f>Lab_CIA!I36</f>
        <v>46</v>
      </c>
      <c r="H38" s="44">
        <f t="shared" si="0"/>
        <v>18.4</v>
      </c>
      <c r="I38" s="44">
        <f t="shared" si="1"/>
        <v>47.7</v>
      </c>
      <c r="J38" s="46">
        <f t="shared" si="2"/>
        <v>19.08</v>
      </c>
      <c r="K38" s="47">
        <f t="shared" si="3"/>
        <v>20</v>
      </c>
      <c r="L38" s="47"/>
      <c r="M38" s="47"/>
      <c r="N38" s="47"/>
      <c r="O38" s="47"/>
      <c r="P38" s="47"/>
      <c r="Q38" s="47"/>
      <c r="R38" s="47"/>
    </row>
    <row r="39" spans="3:18">
      <c r="C39" s="42">
        <v>27</v>
      </c>
      <c r="D39" s="5" t="s">
        <v>78</v>
      </c>
      <c r="E39" s="13" t="s">
        <v>79</v>
      </c>
      <c r="F39" s="43">
        <f>Lab_CIE!P37</f>
        <v>29.1</v>
      </c>
      <c r="G39" s="43">
        <f>Lab_CIA!I37</f>
        <v>44</v>
      </c>
      <c r="H39" s="44">
        <f t="shared" si="0"/>
        <v>17.6</v>
      </c>
      <c r="I39" s="44">
        <f t="shared" si="1"/>
        <v>46.7</v>
      </c>
      <c r="J39" s="46">
        <f t="shared" si="2"/>
        <v>18.68</v>
      </c>
      <c r="K39" s="47">
        <f t="shared" si="3"/>
        <v>19</v>
      </c>
      <c r="L39" s="47"/>
      <c r="M39" s="47"/>
      <c r="N39" s="47"/>
      <c r="O39" s="47"/>
      <c r="P39" s="47"/>
      <c r="Q39" s="47"/>
      <c r="R39" s="47"/>
    </row>
    <row r="40" spans="3:18">
      <c r="C40" s="42">
        <v>28</v>
      </c>
      <c r="D40" s="5" t="s">
        <v>80</v>
      </c>
      <c r="E40" s="13" t="s">
        <v>81</v>
      </c>
      <c r="F40" s="43">
        <f>Lab_CIE!P38</f>
        <v>28.9</v>
      </c>
      <c r="G40" s="43">
        <f>Lab_CIA!I38</f>
        <v>48</v>
      </c>
      <c r="H40" s="44">
        <f t="shared" si="0"/>
        <v>19.2</v>
      </c>
      <c r="I40" s="44">
        <f t="shared" si="1"/>
        <v>48.1</v>
      </c>
      <c r="J40" s="46">
        <f t="shared" si="2"/>
        <v>19.24</v>
      </c>
      <c r="K40" s="47">
        <f t="shared" si="3"/>
        <v>20</v>
      </c>
      <c r="L40" s="47"/>
      <c r="M40" s="47"/>
      <c r="N40" s="47"/>
      <c r="O40" s="47"/>
      <c r="P40" s="47"/>
      <c r="Q40" s="47"/>
      <c r="R40" s="47"/>
    </row>
    <row r="41" spans="3:18">
      <c r="C41" s="42">
        <v>29</v>
      </c>
      <c r="D41" s="5" t="s">
        <v>82</v>
      </c>
      <c r="E41" s="13" t="s">
        <v>83</v>
      </c>
      <c r="F41" s="43">
        <f>Lab_CIE!P39</f>
        <v>29.1</v>
      </c>
      <c r="G41" s="43">
        <f>Lab_CIA!I39</f>
        <v>50</v>
      </c>
      <c r="H41" s="44">
        <f t="shared" si="0"/>
        <v>20</v>
      </c>
      <c r="I41" s="44">
        <f t="shared" si="1"/>
        <v>49.1</v>
      </c>
      <c r="J41" s="46">
        <f t="shared" si="2"/>
        <v>19.64</v>
      </c>
      <c r="K41" s="47">
        <f t="shared" si="3"/>
        <v>20</v>
      </c>
      <c r="L41" s="47"/>
      <c r="M41" s="47"/>
      <c r="N41" s="47"/>
      <c r="O41" s="47"/>
      <c r="P41" s="47"/>
      <c r="Q41" s="47"/>
      <c r="R41" s="47"/>
    </row>
    <row r="42" spans="3:18">
      <c r="C42" s="42">
        <v>30</v>
      </c>
      <c r="D42" s="5" t="s">
        <v>84</v>
      </c>
      <c r="E42" s="13" t="s">
        <v>85</v>
      </c>
      <c r="F42" s="43">
        <f>Lab_CIE!P40</f>
        <v>29</v>
      </c>
      <c r="G42" s="43">
        <f>Lab_CIA!I40</f>
        <v>48</v>
      </c>
      <c r="H42" s="44">
        <f t="shared" si="0"/>
        <v>19.2</v>
      </c>
      <c r="I42" s="44">
        <f t="shared" si="1"/>
        <v>48.2</v>
      </c>
      <c r="J42" s="46">
        <f t="shared" si="2"/>
        <v>19.28</v>
      </c>
      <c r="K42" s="47">
        <f t="shared" si="3"/>
        <v>20</v>
      </c>
      <c r="L42" s="47"/>
      <c r="M42" s="47"/>
      <c r="N42" s="47"/>
      <c r="O42" s="47"/>
      <c r="P42" s="47"/>
      <c r="Q42" s="47"/>
      <c r="R42" s="47"/>
    </row>
    <row r="43" spans="3:18">
      <c r="C43" s="42">
        <v>31</v>
      </c>
      <c r="D43" s="5" t="s">
        <v>86</v>
      </c>
      <c r="E43" s="13" t="s">
        <v>87</v>
      </c>
      <c r="F43" s="43">
        <f>Lab_CIE!P41</f>
        <v>29.1</v>
      </c>
      <c r="G43" s="43">
        <f>Lab_CIA!I41</f>
        <v>44</v>
      </c>
      <c r="H43" s="44">
        <f t="shared" si="0"/>
        <v>17.6</v>
      </c>
      <c r="I43" s="44">
        <f t="shared" si="1"/>
        <v>46.7</v>
      </c>
      <c r="J43" s="46">
        <f t="shared" si="2"/>
        <v>18.68</v>
      </c>
      <c r="K43" s="47">
        <f t="shared" si="3"/>
        <v>19</v>
      </c>
      <c r="L43" s="47"/>
      <c r="M43" s="47"/>
      <c r="N43" s="47"/>
      <c r="O43" s="47"/>
      <c r="P43" s="47"/>
      <c r="Q43" s="47"/>
      <c r="R43" s="47"/>
    </row>
    <row r="44" spans="3:18">
      <c r="C44" s="42">
        <v>32</v>
      </c>
      <c r="D44" s="5" t="s">
        <v>88</v>
      </c>
      <c r="E44" s="13" t="s">
        <v>89</v>
      </c>
      <c r="F44" s="43">
        <f>Lab_CIE!P42</f>
        <v>29.2</v>
      </c>
      <c r="G44" s="43">
        <f>Lab_CIA!I42</f>
        <v>48</v>
      </c>
      <c r="H44" s="44">
        <f t="shared" si="0"/>
        <v>19.2</v>
      </c>
      <c r="I44" s="44">
        <f t="shared" si="1"/>
        <v>48.4</v>
      </c>
      <c r="J44" s="46">
        <f t="shared" si="2"/>
        <v>19.36</v>
      </c>
      <c r="K44" s="47">
        <f t="shared" si="3"/>
        <v>20</v>
      </c>
      <c r="L44" s="47"/>
      <c r="M44" s="47"/>
      <c r="N44" s="47"/>
      <c r="O44" s="47"/>
      <c r="P44" s="47"/>
      <c r="Q44" s="47"/>
      <c r="R44" s="47"/>
    </row>
    <row r="45" spans="3:18">
      <c r="C45" s="42">
        <v>33</v>
      </c>
      <c r="D45" s="5" t="s">
        <v>90</v>
      </c>
      <c r="E45" s="13" t="s">
        <v>91</v>
      </c>
      <c r="F45" s="43">
        <f>Lab_CIE!P43</f>
        <v>29.1</v>
      </c>
      <c r="G45" s="43">
        <f>Lab_CIA!I43</f>
        <v>42</v>
      </c>
      <c r="H45" s="44">
        <f t="shared" si="0"/>
        <v>16.8</v>
      </c>
      <c r="I45" s="44">
        <f t="shared" si="1"/>
        <v>45.9</v>
      </c>
      <c r="J45" s="46">
        <f t="shared" si="2"/>
        <v>18.36</v>
      </c>
      <c r="K45" s="47">
        <f t="shared" si="3"/>
        <v>19</v>
      </c>
      <c r="L45" s="47"/>
      <c r="M45" s="47"/>
      <c r="N45" s="47"/>
      <c r="O45" s="47"/>
      <c r="P45" s="47"/>
      <c r="Q45" s="47"/>
      <c r="R45" s="47"/>
    </row>
    <row r="46" spans="3:18">
      <c r="C46" s="42">
        <v>34</v>
      </c>
      <c r="D46" s="5" t="s">
        <v>92</v>
      </c>
      <c r="E46" s="13" t="s">
        <v>93</v>
      </c>
      <c r="F46" s="43">
        <f>Lab_CIE!P44</f>
        <v>29.3</v>
      </c>
      <c r="G46" s="43">
        <f>Lab_CIA!I44</f>
        <v>48</v>
      </c>
      <c r="H46" s="44">
        <f t="shared" si="0"/>
        <v>19.2</v>
      </c>
      <c r="I46" s="44">
        <f t="shared" si="1"/>
        <v>48.5</v>
      </c>
      <c r="J46" s="46">
        <f t="shared" si="2"/>
        <v>19.4</v>
      </c>
      <c r="K46" s="47">
        <f t="shared" si="3"/>
        <v>20</v>
      </c>
      <c r="L46" s="47"/>
      <c r="M46" s="47"/>
      <c r="N46" s="47"/>
      <c r="O46" s="47"/>
      <c r="P46" s="47"/>
      <c r="Q46" s="47"/>
      <c r="R46" s="47"/>
    </row>
    <row r="47" spans="3:18">
      <c r="C47" s="42">
        <v>35</v>
      </c>
      <c r="D47" s="5" t="s">
        <v>94</v>
      </c>
      <c r="E47" s="13" t="s">
        <v>95</v>
      </c>
      <c r="F47" s="43">
        <f>Lab_CIE!P45</f>
        <v>29</v>
      </c>
      <c r="G47" s="43">
        <f>Lab_CIA!I45</f>
        <v>44</v>
      </c>
      <c r="H47" s="44">
        <f t="shared" si="0"/>
        <v>17.6</v>
      </c>
      <c r="I47" s="44">
        <f t="shared" si="1"/>
        <v>46.6</v>
      </c>
      <c r="J47" s="46">
        <f t="shared" si="2"/>
        <v>18.64</v>
      </c>
      <c r="K47" s="47">
        <f t="shared" si="3"/>
        <v>19</v>
      </c>
      <c r="L47" s="47"/>
      <c r="M47" s="47"/>
      <c r="N47" s="47"/>
      <c r="O47" s="47"/>
      <c r="P47" s="47"/>
      <c r="Q47" s="47"/>
      <c r="R47" s="47"/>
    </row>
    <row r="48" spans="3:18">
      <c r="C48" s="42">
        <v>36</v>
      </c>
      <c r="D48" s="5" t="s">
        <v>96</v>
      </c>
      <c r="E48" s="13" t="s">
        <v>97</v>
      </c>
      <c r="F48" s="43">
        <f>Lab_CIE!P46</f>
        <v>28.4</v>
      </c>
      <c r="G48" s="43">
        <f>Lab_CIA!I46</f>
        <v>46</v>
      </c>
      <c r="H48" s="44">
        <f t="shared" si="0"/>
        <v>18.4</v>
      </c>
      <c r="I48" s="44">
        <f t="shared" si="1"/>
        <v>46.8</v>
      </c>
      <c r="J48" s="46">
        <f t="shared" si="2"/>
        <v>18.72</v>
      </c>
      <c r="K48" s="47">
        <f t="shared" si="3"/>
        <v>19</v>
      </c>
      <c r="L48" s="47"/>
      <c r="M48" s="47"/>
      <c r="N48" s="47"/>
      <c r="O48" s="47"/>
      <c r="P48" s="47"/>
      <c r="Q48" s="47"/>
      <c r="R48" s="47"/>
    </row>
    <row r="49" spans="3:18">
      <c r="C49" s="42">
        <v>37</v>
      </c>
      <c r="D49" s="5" t="s">
        <v>98</v>
      </c>
      <c r="E49" s="13" t="s">
        <v>99</v>
      </c>
      <c r="F49" s="43">
        <f>Lab_CIE!P47</f>
        <v>28.8</v>
      </c>
      <c r="G49" s="43">
        <f>Lab_CIA!I47</f>
        <v>38</v>
      </c>
      <c r="H49" s="44">
        <f t="shared" si="0"/>
        <v>15.2</v>
      </c>
      <c r="I49" s="44">
        <f t="shared" si="1"/>
        <v>44</v>
      </c>
      <c r="J49" s="46">
        <f t="shared" si="2"/>
        <v>17.6</v>
      </c>
      <c r="K49" s="47">
        <f t="shared" si="3"/>
        <v>18</v>
      </c>
      <c r="L49" s="47"/>
      <c r="M49" s="47"/>
      <c r="N49" s="47"/>
      <c r="O49" s="47"/>
      <c r="P49" s="47"/>
      <c r="Q49" s="47"/>
      <c r="R49" s="47"/>
    </row>
    <row r="50" spans="3:18">
      <c r="C50" s="42">
        <v>38</v>
      </c>
      <c r="D50" s="5" t="s">
        <v>100</v>
      </c>
      <c r="E50" s="13" t="s">
        <v>101</v>
      </c>
      <c r="F50" s="43">
        <f>Lab_CIE!P48</f>
        <v>29.2</v>
      </c>
      <c r="G50" s="43">
        <f>Lab_CIA!I48</f>
        <v>48</v>
      </c>
      <c r="H50" s="44">
        <f t="shared" si="0"/>
        <v>19.2</v>
      </c>
      <c r="I50" s="44">
        <f t="shared" si="1"/>
        <v>48.4</v>
      </c>
      <c r="J50" s="46">
        <f t="shared" si="2"/>
        <v>19.36</v>
      </c>
      <c r="K50" s="47">
        <f t="shared" si="3"/>
        <v>20</v>
      </c>
      <c r="L50" s="47"/>
      <c r="M50" s="47"/>
      <c r="N50" s="47"/>
      <c r="O50" s="47"/>
      <c r="P50" s="47"/>
      <c r="Q50" s="47"/>
      <c r="R50" s="47"/>
    </row>
    <row r="51" spans="3:18">
      <c r="C51" s="42">
        <v>39</v>
      </c>
      <c r="D51" s="5" t="s">
        <v>102</v>
      </c>
      <c r="E51" s="13" t="s">
        <v>103</v>
      </c>
      <c r="F51" s="43">
        <f>Lab_CIE!P49</f>
        <v>29.4</v>
      </c>
      <c r="G51" s="43">
        <f>Lab_CIA!I49</f>
        <v>48</v>
      </c>
      <c r="H51" s="44">
        <f t="shared" si="0"/>
        <v>19.2</v>
      </c>
      <c r="I51" s="44">
        <f t="shared" si="1"/>
        <v>48.6</v>
      </c>
      <c r="J51" s="46">
        <f t="shared" si="2"/>
        <v>19.44</v>
      </c>
      <c r="K51" s="47">
        <f t="shared" si="3"/>
        <v>20</v>
      </c>
      <c r="L51" s="47"/>
      <c r="M51" s="47"/>
      <c r="N51" s="47"/>
      <c r="O51" s="47"/>
      <c r="P51" s="47"/>
      <c r="Q51" s="47"/>
      <c r="R51" s="47"/>
    </row>
    <row r="52" spans="3:18">
      <c r="C52" s="42">
        <v>40</v>
      </c>
      <c r="D52" s="5" t="s">
        <v>104</v>
      </c>
      <c r="E52" s="13" t="s">
        <v>105</v>
      </c>
      <c r="F52" s="43">
        <f>Lab_CIE!P50</f>
        <v>28.7</v>
      </c>
      <c r="G52" s="43">
        <f>Lab_CIA!I50</f>
        <v>48</v>
      </c>
      <c r="H52" s="44">
        <f t="shared" si="0"/>
        <v>19.2</v>
      </c>
      <c r="I52" s="44">
        <f t="shared" si="1"/>
        <v>47.9</v>
      </c>
      <c r="J52" s="46">
        <f t="shared" si="2"/>
        <v>19.16</v>
      </c>
      <c r="K52" s="47">
        <f t="shared" si="3"/>
        <v>20</v>
      </c>
      <c r="L52" s="47"/>
      <c r="M52" s="47"/>
      <c r="N52" s="47"/>
      <c r="O52" s="47"/>
      <c r="P52" s="47"/>
      <c r="Q52" s="47"/>
      <c r="R52" s="47"/>
    </row>
    <row r="53" spans="3:18">
      <c r="C53" s="42">
        <v>41</v>
      </c>
      <c r="D53" s="5" t="s">
        <v>106</v>
      </c>
      <c r="E53" s="13" t="s">
        <v>107</v>
      </c>
      <c r="F53" s="43">
        <f>Lab_CIE!P51</f>
        <v>28.8</v>
      </c>
      <c r="G53" s="43">
        <f>Lab_CIA!I51</f>
        <v>42</v>
      </c>
      <c r="H53" s="44">
        <f t="shared" si="0"/>
        <v>16.8</v>
      </c>
      <c r="I53" s="44">
        <f t="shared" si="1"/>
        <v>45.6</v>
      </c>
      <c r="J53" s="46">
        <f t="shared" si="2"/>
        <v>18.24</v>
      </c>
      <c r="K53" s="47">
        <f t="shared" si="3"/>
        <v>19</v>
      </c>
      <c r="L53" s="47"/>
      <c r="M53" s="47"/>
      <c r="N53" s="47"/>
      <c r="O53" s="47"/>
      <c r="P53" s="47"/>
      <c r="Q53" s="47"/>
      <c r="R53" s="47"/>
    </row>
    <row r="54" spans="3:18">
      <c r="C54" s="42">
        <v>42</v>
      </c>
      <c r="D54" s="5" t="s">
        <v>108</v>
      </c>
      <c r="E54" s="13" t="s">
        <v>109</v>
      </c>
      <c r="F54" s="43">
        <f>Lab_CIE!P52</f>
        <v>28.4</v>
      </c>
      <c r="G54" s="43">
        <f>Lab_CIA!I52</f>
        <v>44</v>
      </c>
      <c r="H54" s="44">
        <f t="shared" si="0"/>
        <v>17.6</v>
      </c>
      <c r="I54" s="44">
        <f t="shared" si="1"/>
        <v>46</v>
      </c>
      <c r="J54" s="46">
        <f t="shared" si="2"/>
        <v>18.4</v>
      </c>
      <c r="K54" s="47">
        <f t="shared" si="3"/>
        <v>19</v>
      </c>
      <c r="L54" s="47"/>
      <c r="M54" s="47"/>
      <c r="N54" s="47"/>
      <c r="O54" s="47"/>
      <c r="P54" s="47"/>
      <c r="Q54" s="47"/>
      <c r="R54" s="47"/>
    </row>
    <row r="55" spans="3:18">
      <c r="C55" s="42">
        <v>43</v>
      </c>
      <c r="D55" s="5" t="s">
        <v>110</v>
      </c>
      <c r="E55" s="13" t="s">
        <v>111</v>
      </c>
      <c r="F55" s="43">
        <f>Lab_CIE!P53</f>
        <v>29.6</v>
      </c>
      <c r="G55" s="43">
        <f>Lab_CIA!I53</f>
        <v>44</v>
      </c>
      <c r="H55" s="44">
        <f t="shared" si="0"/>
        <v>17.6</v>
      </c>
      <c r="I55" s="44">
        <f t="shared" si="1"/>
        <v>47.2</v>
      </c>
      <c r="J55" s="46">
        <f t="shared" si="2"/>
        <v>18.88</v>
      </c>
      <c r="K55" s="47">
        <f t="shared" si="3"/>
        <v>19</v>
      </c>
      <c r="L55" s="47"/>
      <c r="M55" s="47"/>
      <c r="N55" s="47"/>
      <c r="O55" s="47"/>
      <c r="P55" s="47"/>
      <c r="Q55" s="47"/>
      <c r="R55" s="47"/>
    </row>
    <row r="56" spans="3:18">
      <c r="C56" s="42">
        <v>44</v>
      </c>
      <c r="D56" s="5" t="s">
        <v>112</v>
      </c>
      <c r="E56" s="13" t="s">
        <v>113</v>
      </c>
      <c r="F56" s="43">
        <f>Lab_CIE!P54</f>
        <v>29.2</v>
      </c>
      <c r="G56" s="43">
        <f>Lab_CIA!I54</f>
        <v>43</v>
      </c>
      <c r="H56" s="44">
        <f t="shared" si="0"/>
        <v>17.2</v>
      </c>
      <c r="I56" s="44">
        <f t="shared" si="1"/>
        <v>46.4</v>
      </c>
      <c r="J56" s="46">
        <f t="shared" si="2"/>
        <v>18.56</v>
      </c>
      <c r="K56" s="47">
        <f t="shared" si="3"/>
        <v>19</v>
      </c>
      <c r="L56" s="47"/>
      <c r="M56" s="47"/>
      <c r="N56" s="47"/>
      <c r="O56" s="47"/>
      <c r="P56" s="47"/>
      <c r="Q56" s="47"/>
      <c r="R56" s="47"/>
    </row>
    <row r="57" spans="3:18">
      <c r="C57" s="42">
        <v>45</v>
      </c>
      <c r="D57" s="5" t="s">
        <v>114</v>
      </c>
      <c r="E57" s="13" t="s">
        <v>115</v>
      </c>
      <c r="F57" s="43">
        <f>Lab_CIE!P55</f>
        <v>27.3</v>
      </c>
      <c r="G57" s="43">
        <f>Lab_CIA!I55</f>
        <v>47</v>
      </c>
      <c r="H57" s="44">
        <f t="shared" si="0"/>
        <v>18.8</v>
      </c>
      <c r="I57" s="44">
        <f t="shared" si="1"/>
        <v>46.1</v>
      </c>
      <c r="J57" s="46">
        <f t="shared" si="2"/>
        <v>18.44</v>
      </c>
      <c r="K57" s="47">
        <f t="shared" si="3"/>
        <v>19</v>
      </c>
      <c r="L57" s="47"/>
      <c r="M57" s="47"/>
      <c r="N57" s="47"/>
      <c r="O57" s="47"/>
      <c r="P57" s="47"/>
      <c r="Q57" s="47"/>
      <c r="R57" s="47"/>
    </row>
    <row r="58" ht="30" spans="3:18">
      <c r="C58" s="42">
        <v>46</v>
      </c>
      <c r="D58" s="5" t="s">
        <v>116</v>
      </c>
      <c r="E58" s="13" t="s">
        <v>117</v>
      </c>
      <c r="F58" s="43">
        <f>Lab_CIE!P56</f>
        <v>28.6</v>
      </c>
      <c r="G58" s="43">
        <f>Lab_CIA!I56</f>
        <v>40</v>
      </c>
      <c r="H58" s="44">
        <f t="shared" si="0"/>
        <v>16</v>
      </c>
      <c r="I58" s="44">
        <f t="shared" si="1"/>
        <v>44.6</v>
      </c>
      <c r="J58" s="46">
        <f t="shared" si="2"/>
        <v>17.84</v>
      </c>
      <c r="K58" s="47">
        <f t="shared" si="3"/>
        <v>18</v>
      </c>
      <c r="L58" s="47"/>
      <c r="M58" s="47"/>
      <c r="N58" s="47"/>
      <c r="O58" s="47"/>
      <c r="P58" s="47"/>
      <c r="Q58" s="47"/>
      <c r="R58" s="47"/>
    </row>
    <row r="59" spans="3:18">
      <c r="C59" s="42">
        <v>47</v>
      </c>
      <c r="D59" s="5" t="s">
        <v>118</v>
      </c>
      <c r="E59" s="13" t="s">
        <v>119</v>
      </c>
      <c r="F59" s="43">
        <f>Lab_CIE!P57</f>
        <v>27.4</v>
      </c>
      <c r="G59" s="43">
        <f>Lab_CIA!I57</f>
        <v>44</v>
      </c>
      <c r="H59" s="44">
        <f t="shared" si="0"/>
        <v>17.6</v>
      </c>
      <c r="I59" s="44">
        <f t="shared" si="1"/>
        <v>45</v>
      </c>
      <c r="J59" s="46">
        <f t="shared" si="2"/>
        <v>18</v>
      </c>
      <c r="K59" s="47">
        <f t="shared" si="3"/>
        <v>18</v>
      </c>
      <c r="L59" s="47"/>
      <c r="M59" s="47"/>
      <c r="N59" s="47"/>
      <c r="O59" s="47"/>
      <c r="P59" s="47"/>
      <c r="Q59" s="47"/>
      <c r="R59" s="47"/>
    </row>
    <row r="60" spans="3:18">
      <c r="C60" s="42">
        <v>48</v>
      </c>
      <c r="D60" s="5" t="s">
        <v>120</v>
      </c>
      <c r="E60" s="13" t="s">
        <v>121</v>
      </c>
      <c r="F60" s="43">
        <f>Lab_CIE!P58</f>
        <v>27</v>
      </c>
      <c r="G60" s="43">
        <f>Lab_CIA!I58</f>
        <v>44</v>
      </c>
      <c r="H60" s="44">
        <f t="shared" si="0"/>
        <v>17.6</v>
      </c>
      <c r="I60" s="44">
        <f t="shared" si="1"/>
        <v>44.6</v>
      </c>
      <c r="J60" s="46">
        <f t="shared" si="2"/>
        <v>17.84</v>
      </c>
      <c r="K60" s="47">
        <f t="shared" si="3"/>
        <v>18</v>
      </c>
      <c r="L60" s="47"/>
      <c r="M60" s="47"/>
      <c r="N60" s="47"/>
      <c r="O60" s="47"/>
      <c r="P60" s="47"/>
      <c r="Q60" s="47"/>
      <c r="R60" s="47"/>
    </row>
    <row r="61" spans="3:18">
      <c r="C61" s="42">
        <v>49</v>
      </c>
      <c r="D61" s="5" t="s">
        <v>122</v>
      </c>
      <c r="E61" s="13" t="s">
        <v>123</v>
      </c>
      <c r="F61" s="43">
        <f>Lab_CIE!P59</f>
        <v>27</v>
      </c>
      <c r="G61" s="43">
        <f>Lab_CIA!I59</f>
        <v>45</v>
      </c>
      <c r="H61" s="44">
        <f t="shared" si="0"/>
        <v>18</v>
      </c>
      <c r="I61" s="44">
        <f t="shared" si="1"/>
        <v>45</v>
      </c>
      <c r="J61" s="46">
        <f t="shared" si="2"/>
        <v>18</v>
      </c>
      <c r="K61" s="47">
        <f t="shared" si="3"/>
        <v>18</v>
      </c>
      <c r="L61" s="47"/>
      <c r="M61" s="47"/>
      <c r="N61" s="47"/>
      <c r="O61" s="47"/>
      <c r="P61" s="47"/>
      <c r="Q61" s="47"/>
      <c r="R61" s="47"/>
    </row>
    <row r="62" spans="3:18">
      <c r="C62" s="42">
        <v>50</v>
      </c>
      <c r="D62" s="5" t="s">
        <v>124</v>
      </c>
      <c r="E62" s="13" t="s">
        <v>125</v>
      </c>
      <c r="F62" s="43">
        <f>Lab_CIE!P60</f>
        <v>27.9</v>
      </c>
      <c r="G62" s="43">
        <f>Lab_CIA!I60</f>
        <v>46</v>
      </c>
      <c r="H62" s="44">
        <f t="shared" si="0"/>
        <v>18.4</v>
      </c>
      <c r="I62" s="44">
        <f t="shared" si="1"/>
        <v>46.3</v>
      </c>
      <c r="J62" s="46">
        <f t="shared" si="2"/>
        <v>18.52</v>
      </c>
      <c r="K62" s="47">
        <f t="shared" si="3"/>
        <v>19</v>
      </c>
      <c r="L62" s="47"/>
      <c r="M62" s="47"/>
      <c r="N62" s="47"/>
      <c r="O62" s="47"/>
      <c r="P62" s="47"/>
      <c r="Q62" s="47"/>
      <c r="R62" s="47"/>
    </row>
    <row r="63" spans="3:18">
      <c r="C63" s="42">
        <v>51</v>
      </c>
      <c r="D63" s="5" t="s">
        <v>126</v>
      </c>
      <c r="E63" s="13" t="s">
        <v>127</v>
      </c>
      <c r="F63" s="43">
        <f>Lab_CIE!P61</f>
        <v>29</v>
      </c>
      <c r="G63" s="43">
        <f>Lab_CIA!I61</f>
        <v>43</v>
      </c>
      <c r="H63" s="44">
        <f t="shared" si="0"/>
        <v>17.2</v>
      </c>
      <c r="I63" s="44">
        <f t="shared" si="1"/>
        <v>46.2</v>
      </c>
      <c r="J63" s="46">
        <f t="shared" si="2"/>
        <v>18.48</v>
      </c>
      <c r="K63" s="47">
        <f t="shared" si="3"/>
        <v>19</v>
      </c>
      <c r="L63" s="47"/>
      <c r="M63" s="47"/>
      <c r="N63" s="47"/>
      <c r="O63" s="47"/>
      <c r="P63" s="47"/>
      <c r="Q63" s="47"/>
      <c r="R63" s="47"/>
    </row>
    <row r="64" spans="3:18">
      <c r="C64" s="42">
        <v>52</v>
      </c>
      <c r="D64" s="5" t="s">
        <v>128</v>
      </c>
      <c r="E64" s="13" t="s">
        <v>129</v>
      </c>
      <c r="F64" s="43">
        <f>Lab_CIE!P62</f>
        <v>0</v>
      </c>
      <c r="G64" s="43">
        <f>Lab_CIA!I62</f>
        <v>0</v>
      </c>
      <c r="H64" s="44">
        <f t="shared" si="0"/>
        <v>0</v>
      </c>
      <c r="I64" s="44">
        <f t="shared" si="1"/>
        <v>0</v>
      </c>
      <c r="J64" s="46">
        <f t="shared" si="2"/>
        <v>0</v>
      </c>
      <c r="K64" s="47">
        <f t="shared" si="3"/>
        <v>0</v>
      </c>
      <c r="L64" s="47"/>
      <c r="M64" s="47"/>
      <c r="N64" s="47"/>
      <c r="O64" s="47"/>
      <c r="P64" s="47"/>
      <c r="Q64" s="47"/>
      <c r="R64" s="47"/>
    </row>
    <row r="65" spans="3:18">
      <c r="C65" s="42">
        <v>53</v>
      </c>
      <c r="D65" s="5" t="s">
        <v>130</v>
      </c>
      <c r="E65" s="13" t="s">
        <v>131</v>
      </c>
      <c r="F65" s="43">
        <f>Lab_CIE!P63</f>
        <v>29.4</v>
      </c>
      <c r="G65" s="43">
        <f>Lab_CIA!I63</f>
        <v>45</v>
      </c>
      <c r="H65" s="44">
        <f t="shared" si="0"/>
        <v>18</v>
      </c>
      <c r="I65" s="44">
        <f t="shared" si="1"/>
        <v>47.4</v>
      </c>
      <c r="J65" s="46">
        <f t="shared" si="2"/>
        <v>18.96</v>
      </c>
      <c r="K65" s="47">
        <f t="shared" si="3"/>
        <v>19</v>
      </c>
      <c r="L65" s="47"/>
      <c r="M65" s="47"/>
      <c r="N65" s="47"/>
      <c r="O65" s="47"/>
      <c r="P65" s="47"/>
      <c r="Q65" s="47"/>
      <c r="R65" s="47"/>
    </row>
    <row r="66" ht="45" spans="3:18">
      <c r="C66" s="42">
        <v>54</v>
      </c>
      <c r="D66" s="5" t="s">
        <v>132</v>
      </c>
      <c r="E66" s="13" t="s">
        <v>133</v>
      </c>
      <c r="F66" s="43">
        <f>Lab_CIE!P64</f>
        <v>28.6</v>
      </c>
      <c r="G66" s="43">
        <f>Lab_CIA!I64</f>
        <v>45</v>
      </c>
      <c r="H66" s="44">
        <f t="shared" si="0"/>
        <v>18</v>
      </c>
      <c r="I66" s="44">
        <f t="shared" si="1"/>
        <v>46.6</v>
      </c>
      <c r="J66" s="46">
        <f t="shared" si="2"/>
        <v>18.64</v>
      </c>
      <c r="K66" s="47">
        <f t="shared" si="3"/>
        <v>19</v>
      </c>
      <c r="L66" s="47"/>
      <c r="M66" s="47"/>
      <c r="N66" s="47"/>
      <c r="O66" s="47"/>
      <c r="P66" s="47"/>
      <c r="Q66" s="47"/>
      <c r="R66" s="47"/>
    </row>
    <row r="67" spans="3:18">
      <c r="C67" s="42">
        <v>55</v>
      </c>
      <c r="D67" s="5" t="s">
        <v>134</v>
      </c>
      <c r="E67" s="13" t="s">
        <v>135</v>
      </c>
      <c r="F67" s="43">
        <f>Lab_CIE!P65</f>
        <v>28.5</v>
      </c>
      <c r="G67" s="43">
        <f>Lab_CIA!I65</f>
        <v>48</v>
      </c>
      <c r="H67" s="44">
        <f t="shared" si="0"/>
        <v>19.2</v>
      </c>
      <c r="I67" s="44">
        <f t="shared" si="1"/>
        <v>47.7</v>
      </c>
      <c r="J67" s="46">
        <f t="shared" si="2"/>
        <v>19.08</v>
      </c>
      <c r="K67" s="47">
        <f t="shared" si="3"/>
        <v>20</v>
      </c>
      <c r="L67" s="47"/>
      <c r="M67" s="47"/>
      <c r="N67" s="47"/>
      <c r="O67" s="47"/>
      <c r="P67" s="47"/>
      <c r="Q67" s="47"/>
      <c r="R67" s="47"/>
    </row>
    <row r="68" spans="3:18">
      <c r="C68" s="42">
        <v>56</v>
      </c>
      <c r="D68" s="5" t="s">
        <v>136</v>
      </c>
      <c r="E68" s="13" t="s">
        <v>137</v>
      </c>
      <c r="F68" s="43">
        <f>Lab_CIE!P66</f>
        <v>27.9</v>
      </c>
      <c r="G68" s="43">
        <f>Lab_CIA!I66</f>
        <v>46</v>
      </c>
      <c r="H68" s="44">
        <f t="shared" si="0"/>
        <v>18.4</v>
      </c>
      <c r="I68" s="44">
        <f t="shared" si="1"/>
        <v>46.3</v>
      </c>
      <c r="J68" s="46">
        <f t="shared" si="2"/>
        <v>18.52</v>
      </c>
      <c r="K68" s="47">
        <f t="shared" si="3"/>
        <v>19</v>
      </c>
      <c r="L68" s="47"/>
      <c r="M68" s="47"/>
      <c r="N68" s="47"/>
      <c r="O68" s="47"/>
      <c r="P68" s="47"/>
      <c r="Q68" s="47"/>
      <c r="R68" s="47"/>
    </row>
    <row r="69" spans="3:18">
      <c r="C69" s="42">
        <v>57</v>
      </c>
      <c r="D69" s="5" t="s">
        <v>138</v>
      </c>
      <c r="E69" s="13" t="s">
        <v>139</v>
      </c>
      <c r="F69" s="43">
        <f>Lab_CIE!P67</f>
        <v>27.3</v>
      </c>
      <c r="G69" s="43">
        <f>Lab_CIA!I67</f>
        <v>48</v>
      </c>
      <c r="H69" s="44">
        <f t="shared" si="0"/>
        <v>19.2</v>
      </c>
      <c r="I69" s="44">
        <f t="shared" si="1"/>
        <v>46.5</v>
      </c>
      <c r="J69" s="46">
        <f t="shared" si="2"/>
        <v>18.6</v>
      </c>
      <c r="K69" s="47">
        <f t="shared" si="3"/>
        <v>19</v>
      </c>
      <c r="L69" s="47"/>
      <c r="M69" s="47"/>
      <c r="N69" s="47"/>
      <c r="O69" s="47"/>
      <c r="P69" s="47"/>
      <c r="Q69" s="47"/>
      <c r="R69" s="47"/>
    </row>
    <row r="70" spans="3:18">
      <c r="C70" s="42">
        <v>58</v>
      </c>
      <c r="D70" s="5" t="s">
        <v>140</v>
      </c>
      <c r="E70" s="13" t="s">
        <v>141</v>
      </c>
      <c r="F70" s="43">
        <f>Lab_CIE!P68</f>
        <v>27.6</v>
      </c>
      <c r="G70" s="43">
        <f>Lab_CIA!I68</f>
        <v>42</v>
      </c>
      <c r="H70" s="44">
        <f t="shared" si="0"/>
        <v>16.8</v>
      </c>
      <c r="I70" s="44">
        <f t="shared" si="1"/>
        <v>44.4</v>
      </c>
      <c r="J70" s="46">
        <f t="shared" si="2"/>
        <v>17.76</v>
      </c>
      <c r="K70" s="47">
        <f t="shared" si="3"/>
        <v>18</v>
      </c>
      <c r="L70" s="47"/>
      <c r="M70" s="47"/>
      <c r="N70" s="47"/>
      <c r="O70" s="47"/>
      <c r="P70" s="47"/>
      <c r="Q70" s="47"/>
      <c r="R70" s="47"/>
    </row>
    <row r="71" spans="3:18">
      <c r="C71" s="42">
        <v>59</v>
      </c>
      <c r="D71" s="5" t="s">
        <v>142</v>
      </c>
      <c r="E71" s="13" t="s">
        <v>143</v>
      </c>
      <c r="F71" s="43">
        <f>Lab_CIE!P69</f>
        <v>28.2</v>
      </c>
      <c r="G71" s="43">
        <f>Lab_CIA!I69</f>
        <v>45</v>
      </c>
      <c r="H71" s="44">
        <f t="shared" si="0"/>
        <v>18</v>
      </c>
      <c r="I71" s="44">
        <f t="shared" si="1"/>
        <v>46.2</v>
      </c>
      <c r="J71" s="46">
        <f t="shared" si="2"/>
        <v>18.48</v>
      </c>
      <c r="K71" s="47">
        <f t="shared" si="3"/>
        <v>19</v>
      </c>
      <c r="L71" s="47"/>
      <c r="M71" s="47"/>
      <c r="N71" s="47"/>
      <c r="O71" s="47"/>
      <c r="P71" s="47"/>
      <c r="Q71" s="47"/>
      <c r="R71" s="47"/>
    </row>
    <row r="72" spans="3:18">
      <c r="C72" s="42">
        <v>60</v>
      </c>
      <c r="D72" s="5" t="s">
        <v>144</v>
      </c>
      <c r="E72" s="13" t="s">
        <v>145</v>
      </c>
      <c r="F72" s="43">
        <f>Lab_CIE!P70</f>
        <v>28.9</v>
      </c>
      <c r="G72" s="43">
        <f>Lab_CIA!I70</f>
        <v>47</v>
      </c>
      <c r="H72" s="44">
        <f t="shared" si="0"/>
        <v>18.8</v>
      </c>
      <c r="I72" s="44">
        <f t="shared" si="1"/>
        <v>47.7</v>
      </c>
      <c r="J72" s="46">
        <f t="shared" si="2"/>
        <v>19.08</v>
      </c>
      <c r="K72" s="47">
        <f t="shared" si="3"/>
        <v>20</v>
      </c>
      <c r="L72" s="47"/>
      <c r="M72" s="47"/>
      <c r="N72" s="47"/>
      <c r="O72" s="47"/>
      <c r="P72" s="47"/>
      <c r="Q72" s="47"/>
      <c r="R72" s="47"/>
    </row>
    <row r="73" spans="3:18">
      <c r="C73" s="42">
        <v>61</v>
      </c>
      <c r="D73" s="5" t="s">
        <v>146</v>
      </c>
      <c r="E73" s="13" t="s">
        <v>147</v>
      </c>
      <c r="F73" s="43">
        <f>Lab_CIE!P71</f>
        <v>28.8</v>
      </c>
      <c r="G73" s="43">
        <f>Lab_CIA!I71</f>
        <v>48</v>
      </c>
      <c r="H73" s="44">
        <f t="shared" si="0"/>
        <v>19.2</v>
      </c>
      <c r="I73" s="44">
        <f t="shared" si="1"/>
        <v>48</v>
      </c>
      <c r="J73" s="46">
        <f t="shared" si="2"/>
        <v>19.2</v>
      </c>
      <c r="K73" s="47">
        <f t="shared" si="3"/>
        <v>20</v>
      </c>
      <c r="L73" s="47"/>
      <c r="M73" s="47"/>
      <c r="N73" s="47"/>
      <c r="O73" s="47"/>
      <c r="P73" s="47"/>
      <c r="Q73" s="47"/>
      <c r="R73" s="47"/>
    </row>
    <row r="74" spans="3:18">
      <c r="C74" s="42">
        <v>62</v>
      </c>
      <c r="D74" s="5" t="s">
        <v>148</v>
      </c>
      <c r="E74" s="13" t="s">
        <v>149</v>
      </c>
      <c r="F74" s="43">
        <f>Lab_CIE!P72</f>
        <v>27.6</v>
      </c>
      <c r="G74" s="43">
        <f>Lab_CIA!I72</f>
        <v>49</v>
      </c>
      <c r="H74" s="44">
        <f t="shared" si="0"/>
        <v>19.6</v>
      </c>
      <c r="I74" s="44">
        <f t="shared" si="1"/>
        <v>47.2</v>
      </c>
      <c r="J74" s="46">
        <f t="shared" si="2"/>
        <v>18.88</v>
      </c>
      <c r="K74" s="47">
        <f t="shared" si="3"/>
        <v>19</v>
      </c>
      <c r="L74" s="47"/>
      <c r="M74" s="47"/>
      <c r="N74" s="47"/>
      <c r="O74" s="47"/>
      <c r="P74" s="47"/>
      <c r="Q74" s="47"/>
      <c r="R74" s="47"/>
    </row>
    <row r="75" spans="3:18">
      <c r="C75" s="42">
        <v>63</v>
      </c>
      <c r="D75" s="5" t="s">
        <v>150</v>
      </c>
      <c r="E75" s="13" t="s">
        <v>151</v>
      </c>
      <c r="F75" s="43">
        <f>Lab_CIE!P73</f>
        <v>28.9</v>
      </c>
      <c r="G75" s="43">
        <f>Lab_CIA!I73</f>
        <v>48</v>
      </c>
      <c r="H75" s="44">
        <f t="shared" si="0"/>
        <v>19.2</v>
      </c>
      <c r="I75" s="44">
        <f t="shared" si="1"/>
        <v>48.1</v>
      </c>
      <c r="J75" s="46">
        <f t="shared" si="2"/>
        <v>19.24</v>
      </c>
      <c r="K75" s="47">
        <f t="shared" si="3"/>
        <v>20</v>
      </c>
      <c r="L75" s="47"/>
      <c r="M75" s="47"/>
      <c r="N75" s="47"/>
      <c r="O75" s="47"/>
      <c r="P75" s="47"/>
      <c r="Q75" s="47"/>
      <c r="R75" s="47"/>
    </row>
    <row r="76" spans="3:18">
      <c r="C76" s="42">
        <v>64</v>
      </c>
      <c r="D76" s="5" t="s">
        <v>152</v>
      </c>
      <c r="E76" s="13" t="s">
        <v>153</v>
      </c>
      <c r="F76" s="43">
        <f>Lab_CIE!P74</f>
        <v>28.5</v>
      </c>
      <c r="G76" s="43">
        <f>Lab_CIA!I74</f>
        <v>47</v>
      </c>
      <c r="H76" s="44">
        <f t="shared" si="0"/>
        <v>18.8</v>
      </c>
      <c r="I76" s="44">
        <f t="shared" si="1"/>
        <v>47.3</v>
      </c>
      <c r="J76" s="46">
        <f t="shared" si="2"/>
        <v>18.92</v>
      </c>
      <c r="K76" s="47">
        <f t="shared" si="3"/>
        <v>19</v>
      </c>
      <c r="L76" s="47"/>
      <c r="M76" s="47"/>
      <c r="N76" s="47"/>
      <c r="O76" s="47"/>
      <c r="P76" s="47"/>
      <c r="Q76" s="47"/>
      <c r="R76" s="47"/>
    </row>
    <row r="77" spans="3:18">
      <c r="C77" s="42">
        <v>65</v>
      </c>
      <c r="D77" s="5" t="s">
        <v>154</v>
      </c>
      <c r="E77" s="13" t="s">
        <v>155</v>
      </c>
      <c r="F77" s="43">
        <f>Lab_CIE!P75</f>
        <v>29.5</v>
      </c>
      <c r="G77" s="43">
        <f>Lab_CIA!I75</f>
        <v>46</v>
      </c>
      <c r="H77" s="44">
        <f t="shared" si="0"/>
        <v>18.4</v>
      </c>
      <c r="I77" s="44">
        <f t="shared" si="1"/>
        <v>47.9</v>
      </c>
      <c r="J77" s="46">
        <f t="shared" si="2"/>
        <v>19.16</v>
      </c>
      <c r="K77" s="47">
        <f t="shared" si="3"/>
        <v>20</v>
      </c>
      <c r="L77" s="47"/>
      <c r="M77" s="47"/>
      <c r="N77" s="47"/>
      <c r="O77" s="47"/>
      <c r="P77" s="47"/>
      <c r="Q77" s="47"/>
      <c r="R77" s="47"/>
    </row>
    <row r="78" spans="3:18">
      <c r="C78" s="42">
        <v>66</v>
      </c>
      <c r="D78" s="5" t="s">
        <v>156</v>
      </c>
      <c r="E78" s="13" t="s">
        <v>157</v>
      </c>
      <c r="F78" s="43">
        <f>Lab_CIE!P76</f>
        <v>29.6</v>
      </c>
      <c r="G78" s="43">
        <f>Lab_CIA!I76</f>
        <v>45</v>
      </c>
      <c r="H78" s="44">
        <f t="shared" ref="H78:H141" si="4">((G78*20)/50)</f>
        <v>18</v>
      </c>
      <c r="I78" s="44">
        <f t="shared" ref="I78:I141" si="5">SUM(F78,H78)</f>
        <v>47.6</v>
      </c>
      <c r="J78" s="46">
        <f t="shared" ref="J78:J141" si="6">((I78*20)/50)</f>
        <v>19.04</v>
      </c>
      <c r="K78" s="47">
        <f t="shared" ref="K78:K141" si="7">ROUNDUP(J78,0)</f>
        <v>20</v>
      </c>
      <c r="L78" s="47"/>
      <c r="M78" s="47"/>
      <c r="N78" s="47"/>
      <c r="O78" s="47"/>
      <c r="P78" s="47"/>
      <c r="Q78" s="47"/>
      <c r="R78" s="47"/>
    </row>
    <row r="79" spans="3:18">
      <c r="C79" s="42">
        <v>67</v>
      </c>
      <c r="D79" s="5" t="s">
        <v>158</v>
      </c>
      <c r="E79" s="13" t="s">
        <v>159</v>
      </c>
      <c r="F79" s="43">
        <f>Lab_CIE!P77</f>
        <v>29.4</v>
      </c>
      <c r="G79" s="43">
        <f>Lab_CIA!I77</f>
        <v>46</v>
      </c>
      <c r="H79" s="44">
        <f t="shared" si="4"/>
        <v>18.4</v>
      </c>
      <c r="I79" s="44">
        <f t="shared" si="5"/>
        <v>47.8</v>
      </c>
      <c r="J79" s="46">
        <f t="shared" si="6"/>
        <v>19.12</v>
      </c>
      <c r="K79" s="47">
        <f t="shared" si="7"/>
        <v>20</v>
      </c>
      <c r="L79" s="47"/>
      <c r="M79" s="47"/>
      <c r="N79" s="47"/>
      <c r="O79" s="47"/>
      <c r="P79" s="47"/>
      <c r="Q79" s="47"/>
      <c r="R79" s="47"/>
    </row>
    <row r="80" spans="3:18">
      <c r="C80" s="42">
        <v>68</v>
      </c>
      <c r="D80" s="5" t="s">
        <v>160</v>
      </c>
      <c r="E80" s="13" t="s">
        <v>161</v>
      </c>
      <c r="F80" s="43">
        <f>Lab_CIE!P78</f>
        <v>29</v>
      </c>
      <c r="G80" s="43">
        <f>Lab_CIA!I78</f>
        <v>46</v>
      </c>
      <c r="H80" s="44">
        <f t="shared" si="4"/>
        <v>18.4</v>
      </c>
      <c r="I80" s="44">
        <f t="shared" si="5"/>
        <v>47.4</v>
      </c>
      <c r="J80" s="46">
        <f t="shared" si="6"/>
        <v>18.96</v>
      </c>
      <c r="K80" s="47">
        <f t="shared" si="7"/>
        <v>19</v>
      </c>
      <c r="L80" s="47"/>
      <c r="M80" s="47"/>
      <c r="N80" s="47"/>
      <c r="O80" s="47"/>
      <c r="P80" s="47"/>
      <c r="Q80" s="47"/>
      <c r="R80" s="47"/>
    </row>
    <row r="81" spans="3:18">
      <c r="C81" s="42">
        <v>69</v>
      </c>
      <c r="D81" s="5" t="s">
        <v>162</v>
      </c>
      <c r="E81" s="13" t="s">
        <v>163</v>
      </c>
      <c r="F81" s="43">
        <f>Lab_CIE!P79</f>
        <v>29.6</v>
      </c>
      <c r="G81" s="43">
        <f>Lab_CIA!I79</f>
        <v>42</v>
      </c>
      <c r="H81" s="44">
        <f t="shared" si="4"/>
        <v>16.8</v>
      </c>
      <c r="I81" s="44">
        <f t="shared" si="5"/>
        <v>46.4</v>
      </c>
      <c r="J81" s="46">
        <f t="shared" si="6"/>
        <v>18.56</v>
      </c>
      <c r="K81" s="47">
        <f t="shared" si="7"/>
        <v>19</v>
      </c>
      <c r="L81" s="47"/>
      <c r="M81" s="47"/>
      <c r="N81" s="47"/>
      <c r="O81" s="47"/>
      <c r="P81" s="47"/>
      <c r="Q81" s="47"/>
      <c r="R81" s="47"/>
    </row>
    <row r="82" spans="3:18">
      <c r="C82" s="42">
        <v>70</v>
      </c>
      <c r="D82" s="5" t="s">
        <v>164</v>
      </c>
      <c r="E82" s="13" t="s">
        <v>165</v>
      </c>
      <c r="F82" s="43">
        <f>Lab_CIE!P80</f>
        <v>29.5</v>
      </c>
      <c r="G82" s="43">
        <f>Lab_CIA!I80</f>
        <v>0</v>
      </c>
      <c r="H82" s="44">
        <f t="shared" si="4"/>
        <v>0</v>
      </c>
      <c r="I82" s="44">
        <f t="shared" si="5"/>
        <v>29.5</v>
      </c>
      <c r="J82" s="46">
        <f t="shared" si="6"/>
        <v>11.8</v>
      </c>
      <c r="K82" s="47">
        <f t="shared" si="7"/>
        <v>12</v>
      </c>
      <c r="L82" s="47"/>
      <c r="M82" s="47"/>
      <c r="N82" s="47"/>
      <c r="O82" s="47"/>
      <c r="P82" s="47"/>
      <c r="Q82" s="47"/>
      <c r="R82" s="47"/>
    </row>
    <row r="83" spans="3:11">
      <c r="C83" s="42">
        <v>71</v>
      </c>
      <c r="D83" s="5" t="s">
        <v>166</v>
      </c>
      <c r="E83" s="13" t="s">
        <v>167</v>
      </c>
      <c r="F83" s="43">
        <f>Lab_CIE!P81</f>
        <v>28</v>
      </c>
      <c r="G83" s="43">
        <f>Lab_CIA!I81</f>
        <v>45</v>
      </c>
      <c r="H83" s="44">
        <f t="shared" si="4"/>
        <v>18</v>
      </c>
      <c r="I83" s="44">
        <f t="shared" si="5"/>
        <v>46</v>
      </c>
      <c r="J83" s="46">
        <f t="shared" si="6"/>
        <v>18.4</v>
      </c>
      <c r="K83" s="47">
        <f t="shared" si="7"/>
        <v>19</v>
      </c>
    </row>
    <row r="84" spans="3:11">
      <c r="C84" s="42">
        <v>72</v>
      </c>
      <c r="D84" s="5" t="s">
        <v>168</v>
      </c>
      <c r="E84" s="13" t="s">
        <v>169</v>
      </c>
      <c r="F84" s="43">
        <f>Lab_CIE!P82</f>
        <v>25.7</v>
      </c>
      <c r="G84" s="43">
        <f>Lab_CIA!I82</f>
        <v>38</v>
      </c>
      <c r="H84" s="44">
        <f t="shared" si="4"/>
        <v>15.2</v>
      </c>
      <c r="I84" s="44">
        <f t="shared" si="5"/>
        <v>40.9</v>
      </c>
      <c r="J84" s="46">
        <f t="shared" si="6"/>
        <v>16.36</v>
      </c>
      <c r="K84" s="47">
        <f t="shared" si="7"/>
        <v>17</v>
      </c>
    </row>
    <row r="85" spans="3:11">
      <c r="C85" s="42">
        <v>73</v>
      </c>
      <c r="D85" s="5" t="s">
        <v>170</v>
      </c>
      <c r="E85" s="13" t="s">
        <v>171</v>
      </c>
      <c r="F85" s="43">
        <f>Lab_CIE!P83</f>
        <v>29.4</v>
      </c>
      <c r="G85" s="43">
        <f>Lab_CIA!I83</f>
        <v>0</v>
      </c>
      <c r="H85" s="44">
        <f t="shared" si="4"/>
        <v>0</v>
      </c>
      <c r="I85" s="44">
        <f t="shared" si="5"/>
        <v>29.4</v>
      </c>
      <c r="J85" s="46">
        <f t="shared" si="6"/>
        <v>11.76</v>
      </c>
      <c r="K85" s="47">
        <f t="shared" si="7"/>
        <v>12</v>
      </c>
    </row>
    <row r="86" spans="3:11">
      <c r="C86" s="42">
        <v>74</v>
      </c>
      <c r="D86" s="5" t="s">
        <v>172</v>
      </c>
      <c r="E86" s="13" t="s">
        <v>173</v>
      </c>
      <c r="F86" s="43">
        <f>Lab_CIE!P84</f>
        <v>26.4</v>
      </c>
      <c r="G86" s="43">
        <f>Lab_CIA!I84</f>
        <v>45</v>
      </c>
      <c r="H86" s="44">
        <f t="shared" si="4"/>
        <v>18</v>
      </c>
      <c r="I86" s="44">
        <f t="shared" si="5"/>
        <v>44.4</v>
      </c>
      <c r="J86" s="46">
        <f t="shared" si="6"/>
        <v>17.76</v>
      </c>
      <c r="K86" s="47">
        <f t="shared" si="7"/>
        <v>18</v>
      </c>
    </row>
    <row r="87" spans="3:11">
      <c r="C87" s="42">
        <v>75</v>
      </c>
      <c r="D87" s="5" t="s">
        <v>174</v>
      </c>
      <c r="E87" s="13" t="s">
        <v>175</v>
      </c>
      <c r="F87" s="43">
        <f>Lab_CIE!P85</f>
        <v>26.3</v>
      </c>
      <c r="G87" s="43">
        <f>Lab_CIA!I85</f>
        <v>45</v>
      </c>
      <c r="H87" s="44">
        <f t="shared" si="4"/>
        <v>18</v>
      </c>
      <c r="I87" s="44">
        <f t="shared" si="5"/>
        <v>44.3</v>
      </c>
      <c r="J87" s="46">
        <f t="shared" si="6"/>
        <v>17.72</v>
      </c>
      <c r="K87" s="47">
        <f t="shared" si="7"/>
        <v>18</v>
      </c>
    </row>
    <row r="88" spans="3:11">
      <c r="C88" s="42">
        <v>76</v>
      </c>
      <c r="D88" s="5" t="s">
        <v>176</v>
      </c>
      <c r="E88" s="13" t="s">
        <v>177</v>
      </c>
      <c r="F88" s="43">
        <f>Lab_CIE!P86</f>
        <v>26.4</v>
      </c>
      <c r="G88" s="43">
        <f>Lab_CIA!I86</f>
        <v>0</v>
      </c>
      <c r="H88" s="44">
        <f t="shared" si="4"/>
        <v>0</v>
      </c>
      <c r="I88" s="44">
        <f t="shared" si="5"/>
        <v>26.4</v>
      </c>
      <c r="J88" s="46">
        <f t="shared" si="6"/>
        <v>10.56</v>
      </c>
      <c r="K88" s="47">
        <f t="shared" si="7"/>
        <v>11</v>
      </c>
    </row>
    <row r="89" spans="3:11">
      <c r="C89" s="42">
        <v>77</v>
      </c>
      <c r="D89" s="5" t="s">
        <v>178</v>
      </c>
      <c r="E89" s="13" t="s">
        <v>179</v>
      </c>
      <c r="F89" s="43">
        <f>Lab_CIE!P87</f>
        <v>29.4</v>
      </c>
      <c r="G89" s="43">
        <f>Lab_CIA!I87</f>
        <v>0</v>
      </c>
      <c r="H89" s="44">
        <f t="shared" si="4"/>
        <v>0</v>
      </c>
      <c r="I89" s="44">
        <f t="shared" si="5"/>
        <v>29.4</v>
      </c>
      <c r="J89" s="46">
        <f t="shared" si="6"/>
        <v>11.76</v>
      </c>
      <c r="K89" s="47">
        <f t="shared" si="7"/>
        <v>12</v>
      </c>
    </row>
    <row r="90" spans="3:11">
      <c r="C90" s="42">
        <v>78</v>
      </c>
      <c r="D90" s="5" t="s">
        <v>180</v>
      </c>
      <c r="E90" s="13" t="s">
        <v>181</v>
      </c>
      <c r="F90" s="43">
        <f>Lab_CIE!P88</f>
        <v>28.3</v>
      </c>
      <c r="G90" s="43">
        <f>Lab_CIA!I88</f>
        <v>46</v>
      </c>
      <c r="H90" s="44">
        <f t="shared" si="4"/>
        <v>18.4</v>
      </c>
      <c r="I90" s="44">
        <f t="shared" si="5"/>
        <v>46.7</v>
      </c>
      <c r="J90" s="46">
        <f t="shared" si="6"/>
        <v>18.68</v>
      </c>
      <c r="K90" s="47">
        <f t="shared" si="7"/>
        <v>19</v>
      </c>
    </row>
    <row r="91" spans="3:11">
      <c r="C91" s="42">
        <v>79</v>
      </c>
      <c r="D91" s="5" t="s">
        <v>182</v>
      </c>
      <c r="E91" s="13" t="s">
        <v>183</v>
      </c>
      <c r="F91" s="43">
        <f>Lab_CIE!P89</f>
        <v>27.1</v>
      </c>
      <c r="G91" s="43">
        <f>Lab_CIA!I89</f>
        <v>44</v>
      </c>
      <c r="H91" s="44">
        <f t="shared" si="4"/>
        <v>17.6</v>
      </c>
      <c r="I91" s="44">
        <f t="shared" si="5"/>
        <v>44.7</v>
      </c>
      <c r="J91" s="46">
        <f t="shared" si="6"/>
        <v>17.88</v>
      </c>
      <c r="K91" s="47">
        <f t="shared" si="7"/>
        <v>18</v>
      </c>
    </row>
    <row r="92" spans="3:11">
      <c r="C92" s="42">
        <v>80</v>
      </c>
      <c r="D92" s="5" t="s">
        <v>184</v>
      </c>
      <c r="E92" s="13" t="s">
        <v>185</v>
      </c>
      <c r="F92" s="43">
        <f>Lab_CIE!P90</f>
        <v>28.3</v>
      </c>
      <c r="G92" s="43">
        <f>Lab_CIA!I90</f>
        <v>47</v>
      </c>
      <c r="H92" s="44">
        <f t="shared" si="4"/>
        <v>18.8</v>
      </c>
      <c r="I92" s="44">
        <f t="shared" si="5"/>
        <v>47.1</v>
      </c>
      <c r="J92" s="46">
        <f t="shared" si="6"/>
        <v>18.84</v>
      </c>
      <c r="K92" s="47">
        <f t="shared" si="7"/>
        <v>19</v>
      </c>
    </row>
    <row r="93" spans="3:11">
      <c r="C93" s="42">
        <v>81</v>
      </c>
      <c r="D93" s="5" t="s">
        <v>186</v>
      </c>
      <c r="E93" s="13" t="s">
        <v>187</v>
      </c>
      <c r="F93" s="43">
        <f>Lab_CIE!P91</f>
        <v>26.5</v>
      </c>
      <c r="G93" s="43">
        <f>Lab_CIA!I91</f>
        <v>0</v>
      </c>
      <c r="H93" s="44">
        <f t="shared" si="4"/>
        <v>0</v>
      </c>
      <c r="I93" s="44">
        <f t="shared" si="5"/>
        <v>26.5</v>
      </c>
      <c r="J93" s="46">
        <f t="shared" si="6"/>
        <v>10.6</v>
      </c>
      <c r="K93" s="47">
        <f t="shared" si="7"/>
        <v>11</v>
      </c>
    </row>
    <row r="94" spans="3:11">
      <c r="C94" s="42">
        <v>82</v>
      </c>
      <c r="D94" s="5" t="s">
        <v>188</v>
      </c>
      <c r="E94" s="13" t="s">
        <v>189</v>
      </c>
      <c r="F94" s="43">
        <f>Lab_CIE!P92</f>
        <v>28</v>
      </c>
      <c r="G94" s="43">
        <f>Lab_CIA!I92</f>
        <v>45</v>
      </c>
      <c r="H94" s="44">
        <f t="shared" si="4"/>
        <v>18</v>
      </c>
      <c r="I94" s="44">
        <f t="shared" si="5"/>
        <v>46</v>
      </c>
      <c r="J94" s="46">
        <f t="shared" si="6"/>
        <v>18.4</v>
      </c>
      <c r="K94" s="47">
        <f t="shared" si="7"/>
        <v>19</v>
      </c>
    </row>
    <row r="95" spans="3:11">
      <c r="C95" s="42">
        <v>83</v>
      </c>
      <c r="D95" s="5" t="s">
        <v>190</v>
      </c>
      <c r="E95" s="13" t="s">
        <v>191</v>
      </c>
      <c r="F95" s="43">
        <f>Lab_CIE!P93</f>
        <v>29.3</v>
      </c>
      <c r="G95" s="43">
        <f>Lab_CIA!I93</f>
        <v>49</v>
      </c>
      <c r="H95" s="44">
        <f t="shared" si="4"/>
        <v>19.6</v>
      </c>
      <c r="I95" s="44">
        <f t="shared" si="5"/>
        <v>48.9</v>
      </c>
      <c r="J95" s="46">
        <f t="shared" si="6"/>
        <v>19.56</v>
      </c>
      <c r="K95" s="47">
        <f t="shared" si="7"/>
        <v>20</v>
      </c>
    </row>
    <row r="96" spans="3:11">
      <c r="C96" s="42">
        <v>84</v>
      </c>
      <c r="D96" s="5" t="s">
        <v>192</v>
      </c>
      <c r="E96" s="13" t="s">
        <v>193</v>
      </c>
      <c r="F96" s="43">
        <f>Lab_CIE!P94</f>
        <v>26.8</v>
      </c>
      <c r="G96" s="43">
        <f>Lab_CIA!I94</f>
        <v>40</v>
      </c>
      <c r="H96" s="44">
        <f t="shared" si="4"/>
        <v>16</v>
      </c>
      <c r="I96" s="44">
        <f t="shared" si="5"/>
        <v>42.8</v>
      </c>
      <c r="J96" s="46">
        <f t="shared" si="6"/>
        <v>17.12</v>
      </c>
      <c r="K96" s="47">
        <f t="shared" si="7"/>
        <v>18</v>
      </c>
    </row>
    <row r="97" spans="3:11">
      <c r="C97" s="42">
        <v>85</v>
      </c>
      <c r="D97" s="5" t="s">
        <v>194</v>
      </c>
      <c r="E97" s="13" t="s">
        <v>195</v>
      </c>
      <c r="F97" s="43">
        <f>Lab_CIE!P95</f>
        <v>26.3</v>
      </c>
      <c r="G97" s="43">
        <f>Lab_CIA!I95</f>
        <v>46</v>
      </c>
      <c r="H97" s="44">
        <f t="shared" si="4"/>
        <v>18.4</v>
      </c>
      <c r="I97" s="44">
        <f t="shared" si="5"/>
        <v>44.7</v>
      </c>
      <c r="J97" s="46">
        <f t="shared" si="6"/>
        <v>17.88</v>
      </c>
      <c r="K97" s="47">
        <f t="shared" si="7"/>
        <v>18</v>
      </c>
    </row>
    <row r="98" spans="3:11">
      <c r="C98" s="42">
        <v>86</v>
      </c>
      <c r="D98" s="5" t="s">
        <v>196</v>
      </c>
      <c r="E98" s="13" t="s">
        <v>197</v>
      </c>
      <c r="F98" s="43">
        <f>Lab_CIE!P96</f>
        <v>28.2</v>
      </c>
      <c r="G98" s="43">
        <f>Lab_CIA!I96</f>
        <v>44</v>
      </c>
      <c r="H98" s="44">
        <f t="shared" si="4"/>
        <v>17.6</v>
      </c>
      <c r="I98" s="44">
        <f t="shared" si="5"/>
        <v>45.8</v>
      </c>
      <c r="J98" s="46">
        <f t="shared" si="6"/>
        <v>18.32</v>
      </c>
      <c r="K98" s="47">
        <f t="shared" si="7"/>
        <v>19</v>
      </c>
    </row>
    <row r="99" spans="3:11">
      <c r="C99" s="42">
        <v>87</v>
      </c>
      <c r="D99" s="5" t="s">
        <v>198</v>
      </c>
      <c r="E99" s="13" t="s">
        <v>199</v>
      </c>
      <c r="F99" s="43">
        <f>Lab_CIE!P97</f>
        <v>28.4</v>
      </c>
      <c r="G99" s="43">
        <f>Lab_CIA!I97</f>
        <v>50</v>
      </c>
      <c r="H99" s="44">
        <f t="shared" si="4"/>
        <v>20</v>
      </c>
      <c r="I99" s="44">
        <f t="shared" si="5"/>
        <v>48.4</v>
      </c>
      <c r="J99" s="46">
        <f t="shared" si="6"/>
        <v>19.36</v>
      </c>
      <c r="K99" s="47">
        <f t="shared" si="7"/>
        <v>20</v>
      </c>
    </row>
    <row r="100" spans="3:11">
      <c r="C100" s="42">
        <v>88</v>
      </c>
      <c r="D100" s="5" t="s">
        <v>200</v>
      </c>
      <c r="E100" s="13" t="s">
        <v>201</v>
      </c>
      <c r="F100" s="43">
        <f>Lab_CIE!P98</f>
        <v>29.1</v>
      </c>
      <c r="G100" s="43">
        <f>Lab_CIA!I98</f>
        <v>44</v>
      </c>
      <c r="H100" s="44">
        <f t="shared" si="4"/>
        <v>17.6</v>
      </c>
      <c r="I100" s="44">
        <f t="shared" si="5"/>
        <v>46.7</v>
      </c>
      <c r="J100" s="46">
        <f t="shared" si="6"/>
        <v>18.68</v>
      </c>
      <c r="K100" s="47">
        <f t="shared" si="7"/>
        <v>19</v>
      </c>
    </row>
    <row r="101" ht="30" spans="3:11">
      <c r="C101" s="42">
        <v>89</v>
      </c>
      <c r="D101" s="5" t="s">
        <v>202</v>
      </c>
      <c r="E101" s="13" t="s">
        <v>203</v>
      </c>
      <c r="F101" s="43">
        <f>Lab_CIE!P99</f>
        <v>28.9</v>
      </c>
      <c r="G101" s="43">
        <f>Lab_CIA!I99</f>
        <v>40</v>
      </c>
      <c r="H101" s="44">
        <f t="shared" si="4"/>
        <v>16</v>
      </c>
      <c r="I101" s="44">
        <f t="shared" si="5"/>
        <v>44.9</v>
      </c>
      <c r="J101" s="46">
        <f t="shared" si="6"/>
        <v>17.96</v>
      </c>
      <c r="K101" s="47">
        <f t="shared" si="7"/>
        <v>18</v>
      </c>
    </row>
    <row r="102" spans="3:11">
      <c r="C102" s="42">
        <v>90</v>
      </c>
      <c r="D102" s="5" t="s">
        <v>204</v>
      </c>
      <c r="E102" s="13" t="s">
        <v>205</v>
      </c>
      <c r="F102" s="43">
        <f>Lab_CIE!P100</f>
        <v>28.9</v>
      </c>
      <c r="G102" s="43">
        <f>Lab_CIA!I100</f>
        <v>43</v>
      </c>
      <c r="H102" s="44">
        <f t="shared" si="4"/>
        <v>17.2</v>
      </c>
      <c r="I102" s="44">
        <f t="shared" si="5"/>
        <v>46.1</v>
      </c>
      <c r="J102" s="46">
        <f t="shared" si="6"/>
        <v>18.44</v>
      </c>
      <c r="K102" s="47">
        <f t="shared" si="7"/>
        <v>19</v>
      </c>
    </row>
    <row r="103" spans="3:11">
      <c r="C103" s="42">
        <v>91</v>
      </c>
      <c r="D103" s="5" t="s">
        <v>206</v>
      </c>
      <c r="E103" s="13" t="s">
        <v>207</v>
      </c>
      <c r="F103" s="43">
        <f>Lab_CIE!P101</f>
        <v>28.7</v>
      </c>
      <c r="G103" s="43">
        <f>Lab_CIA!I101</f>
        <v>49</v>
      </c>
      <c r="H103" s="44">
        <f t="shared" si="4"/>
        <v>19.6</v>
      </c>
      <c r="I103" s="44">
        <f t="shared" si="5"/>
        <v>48.3</v>
      </c>
      <c r="J103" s="46">
        <f t="shared" si="6"/>
        <v>19.32</v>
      </c>
      <c r="K103" s="47">
        <f t="shared" si="7"/>
        <v>20</v>
      </c>
    </row>
    <row r="104" spans="3:11">
      <c r="C104" s="42">
        <v>92</v>
      </c>
      <c r="D104" s="5" t="s">
        <v>208</v>
      </c>
      <c r="E104" s="13" t="s">
        <v>209</v>
      </c>
      <c r="F104" s="43">
        <f>Lab_CIE!P102</f>
        <v>29.4</v>
      </c>
      <c r="G104" s="43">
        <f>Lab_CIA!I102</f>
        <v>41</v>
      </c>
      <c r="H104" s="44">
        <f t="shared" si="4"/>
        <v>16.4</v>
      </c>
      <c r="I104" s="44">
        <f t="shared" si="5"/>
        <v>45.8</v>
      </c>
      <c r="J104" s="46">
        <f t="shared" si="6"/>
        <v>18.32</v>
      </c>
      <c r="K104" s="47">
        <f t="shared" si="7"/>
        <v>19</v>
      </c>
    </row>
    <row r="105" spans="3:11">
      <c r="C105" s="42">
        <v>93</v>
      </c>
      <c r="D105" s="5" t="s">
        <v>210</v>
      </c>
      <c r="E105" s="13" t="s">
        <v>211</v>
      </c>
      <c r="F105" s="43" t="e">
        <f>Lab_CIE!P103</f>
        <v>#DIV/0!</v>
      </c>
      <c r="G105" s="43">
        <f>Lab_CIA!I103</f>
        <v>0</v>
      </c>
      <c r="H105" s="44">
        <f t="shared" si="4"/>
        <v>0</v>
      </c>
      <c r="I105" s="44" t="e">
        <f t="shared" si="5"/>
        <v>#DIV/0!</v>
      </c>
      <c r="J105" s="46" t="e">
        <f t="shared" si="6"/>
        <v>#DIV/0!</v>
      </c>
      <c r="K105" s="47" t="e">
        <f t="shared" si="7"/>
        <v>#DIV/0!</v>
      </c>
    </row>
    <row r="106" spans="3:11">
      <c r="C106" s="42">
        <v>94</v>
      </c>
      <c r="D106" s="5" t="s">
        <v>212</v>
      </c>
      <c r="E106" s="13" t="s">
        <v>213</v>
      </c>
      <c r="F106" s="43">
        <f>Lab_CIE!P104</f>
        <v>29.6</v>
      </c>
      <c r="G106" s="43">
        <f>Lab_CIA!I104</f>
        <v>44</v>
      </c>
      <c r="H106" s="44">
        <f t="shared" si="4"/>
        <v>17.6</v>
      </c>
      <c r="I106" s="44">
        <f t="shared" si="5"/>
        <v>47.2</v>
      </c>
      <c r="J106" s="46">
        <f t="shared" si="6"/>
        <v>18.88</v>
      </c>
      <c r="K106" s="47">
        <f t="shared" si="7"/>
        <v>19</v>
      </c>
    </row>
    <row r="107" spans="3:11">
      <c r="C107" s="42">
        <v>95</v>
      </c>
      <c r="D107" s="5" t="s">
        <v>214</v>
      </c>
      <c r="E107" s="13" t="s">
        <v>215</v>
      </c>
      <c r="F107" s="43">
        <f>Lab_CIE!P105</f>
        <v>29.6</v>
      </c>
      <c r="G107" s="43">
        <f>Lab_CIA!I105</f>
        <v>38</v>
      </c>
      <c r="H107" s="44">
        <f t="shared" si="4"/>
        <v>15.2</v>
      </c>
      <c r="I107" s="44">
        <f t="shared" si="5"/>
        <v>44.8</v>
      </c>
      <c r="J107" s="46">
        <f t="shared" si="6"/>
        <v>17.92</v>
      </c>
      <c r="K107" s="47">
        <f t="shared" si="7"/>
        <v>18</v>
      </c>
    </row>
    <row r="108" spans="3:11">
      <c r="C108" s="42">
        <v>96</v>
      </c>
      <c r="D108" s="5" t="s">
        <v>216</v>
      </c>
      <c r="E108" s="13" t="s">
        <v>217</v>
      </c>
      <c r="F108" s="43">
        <f>Lab_CIE!P106</f>
        <v>29.6</v>
      </c>
      <c r="G108" s="43">
        <f>Lab_CIA!I106</f>
        <v>40</v>
      </c>
      <c r="H108" s="44">
        <f t="shared" si="4"/>
        <v>16</v>
      </c>
      <c r="I108" s="44">
        <f t="shared" si="5"/>
        <v>45.6</v>
      </c>
      <c r="J108" s="46">
        <f t="shared" si="6"/>
        <v>18.24</v>
      </c>
      <c r="K108" s="47">
        <f t="shared" si="7"/>
        <v>19</v>
      </c>
    </row>
    <row r="109" ht="30" spans="3:11">
      <c r="C109" s="42">
        <v>97</v>
      </c>
      <c r="D109" s="5" t="s">
        <v>218</v>
      </c>
      <c r="E109" s="13" t="s">
        <v>219</v>
      </c>
      <c r="F109" s="43">
        <f>Lab_CIE!P107</f>
        <v>29.6</v>
      </c>
      <c r="G109" s="43">
        <f>Lab_CIA!I107</f>
        <v>42</v>
      </c>
      <c r="H109" s="44">
        <f t="shared" si="4"/>
        <v>16.8</v>
      </c>
      <c r="I109" s="44">
        <f t="shared" si="5"/>
        <v>46.4</v>
      </c>
      <c r="J109" s="46">
        <f t="shared" si="6"/>
        <v>18.56</v>
      </c>
      <c r="K109" s="47">
        <f t="shared" si="7"/>
        <v>19</v>
      </c>
    </row>
    <row r="110" spans="3:11">
      <c r="C110" s="42">
        <v>98</v>
      </c>
      <c r="D110" s="5" t="s">
        <v>220</v>
      </c>
      <c r="E110" s="13" t="s">
        <v>221</v>
      </c>
      <c r="F110" s="43">
        <f>Lab_CIE!P108</f>
        <v>29.6</v>
      </c>
      <c r="G110" s="43">
        <f>Lab_CIA!I108</f>
        <v>44</v>
      </c>
      <c r="H110" s="44">
        <f t="shared" si="4"/>
        <v>17.6</v>
      </c>
      <c r="I110" s="44">
        <f t="shared" si="5"/>
        <v>47.2</v>
      </c>
      <c r="J110" s="46">
        <f t="shared" si="6"/>
        <v>18.88</v>
      </c>
      <c r="K110" s="47">
        <f t="shared" si="7"/>
        <v>19</v>
      </c>
    </row>
    <row r="111" spans="3:11">
      <c r="C111" s="42">
        <v>99</v>
      </c>
      <c r="D111" s="5" t="s">
        <v>222</v>
      </c>
      <c r="E111" s="13" t="s">
        <v>223</v>
      </c>
      <c r="F111" s="43">
        <f>Lab_CIE!P109</f>
        <v>29.6</v>
      </c>
      <c r="G111" s="43">
        <f>Lab_CIA!I109</f>
        <v>47</v>
      </c>
      <c r="H111" s="44">
        <f t="shared" si="4"/>
        <v>18.8</v>
      </c>
      <c r="I111" s="44">
        <f t="shared" si="5"/>
        <v>48.4</v>
      </c>
      <c r="J111" s="46">
        <f t="shared" si="6"/>
        <v>19.36</v>
      </c>
      <c r="K111" s="47">
        <f t="shared" si="7"/>
        <v>20</v>
      </c>
    </row>
    <row r="112" spans="3:11">
      <c r="C112" s="42">
        <v>100</v>
      </c>
      <c r="D112" s="5" t="s">
        <v>224</v>
      </c>
      <c r="E112" s="13" t="s">
        <v>225</v>
      </c>
      <c r="F112" s="43">
        <f>Lab_CIE!P110</f>
        <v>29.6</v>
      </c>
      <c r="G112" s="43">
        <f>Lab_CIA!I110</f>
        <v>49</v>
      </c>
      <c r="H112" s="44">
        <f t="shared" si="4"/>
        <v>19.6</v>
      </c>
      <c r="I112" s="44">
        <f t="shared" si="5"/>
        <v>49.2</v>
      </c>
      <c r="J112" s="46">
        <f t="shared" si="6"/>
        <v>19.68</v>
      </c>
      <c r="K112" s="47">
        <f t="shared" si="7"/>
        <v>20</v>
      </c>
    </row>
    <row r="113" spans="3:11">
      <c r="C113" s="42">
        <v>101</v>
      </c>
      <c r="D113" s="5" t="s">
        <v>226</v>
      </c>
      <c r="E113" s="13" t="s">
        <v>227</v>
      </c>
      <c r="F113" s="43">
        <f>Lab_CIE!P111</f>
        <v>29.8</v>
      </c>
      <c r="G113" s="43">
        <f>Lab_CIA!I111</f>
        <v>41</v>
      </c>
      <c r="H113" s="44">
        <f t="shared" si="4"/>
        <v>16.4</v>
      </c>
      <c r="I113" s="44">
        <f t="shared" si="5"/>
        <v>46.2</v>
      </c>
      <c r="J113" s="46">
        <f t="shared" si="6"/>
        <v>18.48</v>
      </c>
      <c r="K113" s="47">
        <f t="shared" si="7"/>
        <v>19</v>
      </c>
    </row>
    <row r="114" spans="3:11">
      <c r="C114" s="42">
        <v>102</v>
      </c>
      <c r="D114" s="5" t="s">
        <v>228</v>
      </c>
      <c r="E114" s="13" t="s">
        <v>229</v>
      </c>
      <c r="F114" s="43">
        <f>Lab_CIE!P112</f>
        <v>29.2</v>
      </c>
      <c r="G114" s="43">
        <f>Lab_CIA!I112</f>
        <v>45</v>
      </c>
      <c r="H114" s="44">
        <f t="shared" si="4"/>
        <v>18</v>
      </c>
      <c r="I114" s="44">
        <f t="shared" si="5"/>
        <v>47.2</v>
      </c>
      <c r="J114" s="46">
        <f t="shared" si="6"/>
        <v>18.88</v>
      </c>
      <c r="K114" s="47">
        <f t="shared" si="7"/>
        <v>19</v>
      </c>
    </row>
    <row r="115" spans="3:11">
      <c r="C115" s="42">
        <v>103</v>
      </c>
      <c r="D115" s="5" t="s">
        <v>230</v>
      </c>
      <c r="E115" s="13" t="s">
        <v>231</v>
      </c>
      <c r="F115" s="43">
        <f>Lab_CIE!P113</f>
        <v>29.4</v>
      </c>
      <c r="G115" s="43">
        <f>Lab_CIA!I113</f>
        <v>47</v>
      </c>
      <c r="H115" s="44">
        <f t="shared" si="4"/>
        <v>18.8</v>
      </c>
      <c r="I115" s="44">
        <f t="shared" si="5"/>
        <v>48.2</v>
      </c>
      <c r="J115" s="46">
        <f t="shared" si="6"/>
        <v>19.28</v>
      </c>
      <c r="K115" s="47">
        <f t="shared" si="7"/>
        <v>20</v>
      </c>
    </row>
    <row r="116" spans="3:11">
      <c r="C116" s="42">
        <v>104</v>
      </c>
      <c r="D116" s="5" t="s">
        <v>232</v>
      </c>
      <c r="E116" s="13" t="s">
        <v>233</v>
      </c>
      <c r="F116" s="43">
        <f>Lab_CIE!P114</f>
        <v>29.4</v>
      </c>
      <c r="G116" s="43">
        <f>Lab_CIA!I114</f>
        <v>47</v>
      </c>
      <c r="H116" s="44">
        <f t="shared" si="4"/>
        <v>18.8</v>
      </c>
      <c r="I116" s="44">
        <f t="shared" si="5"/>
        <v>48.2</v>
      </c>
      <c r="J116" s="46">
        <f t="shared" si="6"/>
        <v>19.28</v>
      </c>
      <c r="K116" s="47">
        <f t="shared" si="7"/>
        <v>20</v>
      </c>
    </row>
    <row r="117" spans="3:11">
      <c r="C117" s="42">
        <v>105</v>
      </c>
      <c r="D117" s="5" t="s">
        <v>234</v>
      </c>
      <c r="E117" s="13" t="s">
        <v>235</v>
      </c>
      <c r="F117" s="43">
        <f>Lab_CIE!P115</f>
        <v>29.4</v>
      </c>
      <c r="G117" s="43">
        <f>Lab_CIA!I115</f>
        <v>48</v>
      </c>
      <c r="H117" s="44">
        <f t="shared" si="4"/>
        <v>19.2</v>
      </c>
      <c r="I117" s="44">
        <f t="shared" si="5"/>
        <v>48.6</v>
      </c>
      <c r="J117" s="46">
        <f t="shared" si="6"/>
        <v>19.44</v>
      </c>
      <c r="K117" s="47">
        <f t="shared" si="7"/>
        <v>20</v>
      </c>
    </row>
    <row r="118" spans="3:11">
      <c r="C118" s="42">
        <v>106</v>
      </c>
      <c r="D118" s="5" t="s">
        <v>236</v>
      </c>
      <c r="E118" s="13" t="s">
        <v>237</v>
      </c>
      <c r="F118" s="43">
        <f>Lab_CIE!P116</f>
        <v>29.4</v>
      </c>
      <c r="G118" s="43">
        <f>Lab_CIA!I116</f>
        <v>46</v>
      </c>
      <c r="H118" s="44">
        <f t="shared" si="4"/>
        <v>18.4</v>
      </c>
      <c r="I118" s="44">
        <f t="shared" si="5"/>
        <v>47.8</v>
      </c>
      <c r="J118" s="46">
        <f t="shared" si="6"/>
        <v>19.12</v>
      </c>
      <c r="K118" s="47">
        <f t="shared" si="7"/>
        <v>20</v>
      </c>
    </row>
    <row r="119" spans="3:11">
      <c r="C119" s="42">
        <v>107</v>
      </c>
      <c r="D119" s="5" t="s">
        <v>238</v>
      </c>
      <c r="E119" s="13" t="s">
        <v>239</v>
      </c>
      <c r="F119" s="43">
        <f>Lab_CIE!P117</f>
        <v>30</v>
      </c>
      <c r="G119" s="43">
        <f>Lab_CIA!I117</f>
        <v>44</v>
      </c>
      <c r="H119" s="44">
        <f t="shared" si="4"/>
        <v>17.6</v>
      </c>
      <c r="I119" s="44">
        <f t="shared" si="5"/>
        <v>47.6</v>
      </c>
      <c r="J119" s="46">
        <f t="shared" si="6"/>
        <v>19.04</v>
      </c>
      <c r="K119" s="47">
        <f t="shared" si="7"/>
        <v>20</v>
      </c>
    </row>
    <row r="120" spans="3:11">
      <c r="C120" s="42">
        <v>108</v>
      </c>
      <c r="D120" s="5" t="s">
        <v>240</v>
      </c>
      <c r="E120" s="13" t="s">
        <v>241</v>
      </c>
      <c r="F120" s="43">
        <f>Lab_CIE!P118</f>
        <v>30</v>
      </c>
      <c r="G120" s="43">
        <f>Lab_CIA!I118</f>
        <v>46</v>
      </c>
      <c r="H120" s="44">
        <f t="shared" si="4"/>
        <v>18.4</v>
      </c>
      <c r="I120" s="44">
        <f t="shared" si="5"/>
        <v>48.4</v>
      </c>
      <c r="J120" s="46">
        <f t="shared" si="6"/>
        <v>19.36</v>
      </c>
      <c r="K120" s="47">
        <f t="shared" si="7"/>
        <v>20</v>
      </c>
    </row>
    <row r="121" spans="3:11">
      <c r="C121" s="42">
        <v>109</v>
      </c>
      <c r="D121" s="5" t="s">
        <v>242</v>
      </c>
      <c r="E121" s="13" t="s">
        <v>243</v>
      </c>
      <c r="F121" s="43">
        <f>Lab_CIE!P119</f>
        <v>30</v>
      </c>
      <c r="G121" s="43">
        <f>Lab_CIA!I119</f>
        <v>46</v>
      </c>
      <c r="H121" s="44">
        <f t="shared" si="4"/>
        <v>18.4</v>
      </c>
      <c r="I121" s="44">
        <f t="shared" si="5"/>
        <v>48.4</v>
      </c>
      <c r="J121" s="46">
        <f t="shared" si="6"/>
        <v>19.36</v>
      </c>
      <c r="K121" s="47">
        <f t="shared" si="7"/>
        <v>20</v>
      </c>
    </row>
    <row r="122" spans="3:11">
      <c r="C122" s="42">
        <v>110</v>
      </c>
      <c r="D122" s="5" t="s">
        <v>244</v>
      </c>
      <c r="E122" s="13" t="s">
        <v>245</v>
      </c>
      <c r="F122" s="43">
        <f>Lab_CIE!P120</f>
        <v>30</v>
      </c>
      <c r="G122" s="43">
        <f>Lab_CIA!I120</f>
        <v>46</v>
      </c>
      <c r="H122" s="44">
        <f t="shared" si="4"/>
        <v>18.4</v>
      </c>
      <c r="I122" s="44">
        <f t="shared" si="5"/>
        <v>48.4</v>
      </c>
      <c r="J122" s="46">
        <f t="shared" si="6"/>
        <v>19.36</v>
      </c>
      <c r="K122" s="47">
        <f t="shared" si="7"/>
        <v>20</v>
      </c>
    </row>
    <row r="123" spans="3:11">
      <c r="C123" s="42">
        <v>111</v>
      </c>
      <c r="D123" s="5" t="s">
        <v>246</v>
      </c>
      <c r="E123" s="13" t="s">
        <v>247</v>
      </c>
      <c r="F123" s="43">
        <f>Lab_CIE!P121</f>
        <v>30</v>
      </c>
      <c r="G123" s="43">
        <f>Lab_CIA!I121</f>
        <v>43</v>
      </c>
      <c r="H123" s="44">
        <f t="shared" si="4"/>
        <v>17.2</v>
      </c>
      <c r="I123" s="44">
        <f t="shared" si="5"/>
        <v>47.2</v>
      </c>
      <c r="J123" s="46">
        <f t="shared" si="6"/>
        <v>18.88</v>
      </c>
      <c r="K123" s="47">
        <f t="shared" si="7"/>
        <v>19</v>
      </c>
    </row>
    <row r="124" ht="30" spans="3:11">
      <c r="C124" s="42">
        <v>112</v>
      </c>
      <c r="D124" s="5" t="s">
        <v>248</v>
      </c>
      <c r="E124" s="13" t="s">
        <v>249</v>
      </c>
      <c r="F124" s="43">
        <f>Lab_CIE!P122</f>
        <v>29.8</v>
      </c>
      <c r="G124" s="43">
        <f>Lab_CIA!I122</f>
        <v>42</v>
      </c>
      <c r="H124" s="44">
        <f t="shared" si="4"/>
        <v>16.8</v>
      </c>
      <c r="I124" s="44">
        <f t="shared" si="5"/>
        <v>46.6</v>
      </c>
      <c r="J124" s="46">
        <f t="shared" si="6"/>
        <v>18.64</v>
      </c>
      <c r="K124" s="47">
        <f t="shared" si="7"/>
        <v>19</v>
      </c>
    </row>
    <row r="125" spans="3:11">
      <c r="C125" s="42">
        <v>113</v>
      </c>
      <c r="D125" s="5" t="s">
        <v>250</v>
      </c>
      <c r="E125" s="13" t="s">
        <v>251</v>
      </c>
      <c r="F125" s="43">
        <f>Lab_CIE!P123</f>
        <v>29.9</v>
      </c>
      <c r="G125" s="43">
        <f>Lab_CIA!I123</f>
        <v>43</v>
      </c>
      <c r="H125" s="44">
        <f t="shared" si="4"/>
        <v>17.2</v>
      </c>
      <c r="I125" s="44">
        <f t="shared" si="5"/>
        <v>47.1</v>
      </c>
      <c r="J125" s="46">
        <f t="shared" si="6"/>
        <v>18.84</v>
      </c>
      <c r="K125" s="47">
        <f t="shared" si="7"/>
        <v>19</v>
      </c>
    </row>
    <row r="126" spans="3:11">
      <c r="C126" s="42">
        <v>114</v>
      </c>
      <c r="D126" s="5" t="s">
        <v>252</v>
      </c>
      <c r="E126" s="13" t="s">
        <v>253</v>
      </c>
      <c r="F126" s="43">
        <f>Lab_CIE!P124</f>
        <v>29.7</v>
      </c>
      <c r="G126" s="43">
        <f>Lab_CIA!I124</f>
        <v>38</v>
      </c>
      <c r="H126" s="44">
        <f t="shared" si="4"/>
        <v>15.2</v>
      </c>
      <c r="I126" s="44">
        <f t="shared" si="5"/>
        <v>44.9</v>
      </c>
      <c r="J126" s="46">
        <f t="shared" si="6"/>
        <v>17.96</v>
      </c>
      <c r="K126" s="47">
        <f t="shared" si="7"/>
        <v>18</v>
      </c>
    </row>
    <row r="127" spans="3:11">
      <c r="C127" s="42">
        <v>115</v>
      </c>
      <c r="D127" s="5" t="s">
        <v>254</v>
      </c>
      <c r="E127" s="13" t="s">
        <v>255</v>
      </c>
      <c r="F127" s="43">
        <f>Lab_CIE!P125</f>
        <v>30</v>
      </c>
      <c r="G127" s="43">
        <f>Lab_CIA!I125</f>
        <v>47</v>
      </c>
      <c r="H127" s="44">
        <f t="shared" si="4"/>
        <v>18.8</v>
      </c>
      <c r="I127" s="44">
        <f t="shared" si="5"/>
        <v>48.8</v>
      </c>
      <c r="J127" s="46">
        <f t="shared" si="6"/>
        <v>19.52</v>
      </c>
      <c r="K127" s="47">
        <f t="shared" si="7"/>
        <v>20</v>
      </c>
    </row>
    <row r="128" spans="3:11">
      <c r="C128" s="42">
        <v>116</v>
      </c>
      <c r="D128" s="5" t="s">
        <v>256</v>
      </c>
      <c r="E128" s="13" t="s">
        <v>257</v>
      </c>
      <c r="F128" s="43">
        <f>Lab_CIE!P126</f>
        <v>28.8</v>
      </c>
      <c r="G128" s="43">
        <f>Lab_CIA!I126</f>
        <v>43</v>
      </c>
      <c r="H128" s="44">
        <f t="shared" si="4"/>
        <v>17.2</v>
      </c>
      <c r="I128" s="44">
        <f t="shared" si="5"/>
        <v>46</v>
      </c>
      <c r="J128" s="46">
        <f t="shared" si="6"/>
        <v>18.4</v>
      </c>
      <c r="K128" s="47">
        <f t="shared" si="7"/>
        <v>19</v>
      </c>
    </row>
    <row r="129" spans="3:11">
      <c r="C129" s="42">
        <v>117</v>
      </c>
      <c r="D129" s="5" t="s">
        <v>258</v>
      </c>
      <c r="E129" s="13" t="s">
        <v>259</v>
      </c>
      <c r="F129" s="43">
        <f>Lab_CIE!P127</f>
        <v>30</v>
      </c>
      <c r="G129" s="43">
        <f>Lab_CIA!I127</f>
        <v>44</v>
      </c>
      <c r="H129" s="44">
        <f t="shared" si="4"/>
        <v>17.6</v>
      </c>
      <c r="I129" s="44">
        <f t="shared" si="5"/>
        <v>47.6</v>
      </c>
      <c r="J129" s="46">
        <f t="shared" si="6"/>
        <v>19.04</v>
      </c>
      <c r="K129" s="47">
        <f t="shared" si="7"/>
        <v>20</v>
      </c>
    </row>
    <row r="130" spans="3:11">
      <c r="C130" s="42">
        <v>118</v>
      </c>
      <c r="D130" s="5" t="s">
        <v>260</v>
      </c>
      <c r="E130" s="13" t="s">
        <v>261</v>
      </c>
      <c r="F130" s="43">
        <f>Lab_CIE!P128</f>
        <v>30</v>
      </c>
      <c r="G130" s="43">
        <f>Lab_CIA!I128</f>
        <v>43</v>
      </c>
      <c r="H130" s="44">
        <f t="shared" si="4"/>
        <v>17.2</v>
      </c>
      <c r="I130" s="44">
        <f t="shared" si="5"/>
        <v>47.2</v>
      </c>
      <c r="J130" s="46">
        <f t="shared" si="6"/>
        <v>18.88</v>
      </c>
      <c r="K130" s="47">
        <f t="shared" si="7"/>
        <v>19</v>
      </c>
    </row>
    <row r="131" spans="3:11">
      <c r="C131" s="42">
        <v>119</v>
      </c>
      <c r="D131" s="5" t="s">
        <v>262</v>
      </c>
      <c r="E131" s="13" t="s">
        <v>263</v>
      </c>
      <c r="F131" s="43">
        <f>Lab_CIE!P129</f>
        <v>30</v>
      </c>
      <c r="G131" s="43">
        <f>Lab_CIA!I129</f>
        <v>45</v>
      </c>
      <c r="H131" s="44">
        <f t="shared" si="4"/>
        <v>18</v>
      </c>
      <c r="I131" s="44">
        <f t="shared" si="5"/>
        <v>48</v>
      </c>
      <c r="J131" s="46">
        <f t="shared" si="6"/>
        <v>19.2</v>
      </c>
      <c r="K131" s="47">
        <f t="shared" si="7"/>
        <v>20</v>
      </c>
    </row>
    <row r="132" spans="3:11">
      <c r="C132" s="42">
        <v>120</v>
      </c>
      <c r="D132" s="5" t="s">
        <v>264</v>
      </c>
      <c r="E132" s="13" t="s">
        <v>265</v>
      </c>
      <c r="F132" s="43">
        <f>Lab_CIE!P130</f>
        <v>30</v>
      </c>
      <c r="G132" s="43">
        <f>Lab_CIA!I130</f>
        <v>45</v>
      </c>
      <c r="H132" s="44">
        <f t="shared" si="4"/>
        <v>18</v>
      </c>
      <c r="I132" s="44">
        <f t="shared" si="5"/>
        <v>48</v>
      </c>
      <c r="J132" s="46">
        <f t="shared" si="6"/>
        <v>19.2</v>
      </c>
      <c r="K132" s="47">
        <f t="shared" si="7"/>
        <v>20</v>
      </c>
    </row>
    <row r="133" spans="3:11">
      <c r="C133" s="42">
        <v>121</v>
      </c>
      <c r="D133" s="5" t="s">
        <v>266</v>
      </c>
      <c r="E133" s="13" t="s">
        <v>267</v>
      </c>
      <c r="F133" s="43">
        <f>Lab_CIE!P131</f>
        <v>30</v>
      </c>
      <c r="G133" s="43">
        <f>Lab_CIA!I131</f>
        <v>42</v>
      </c>
      <c r="H133" s="44">
        <f t="shared" si="4"/>
        <v>16.8</v>
      </c>
      <c r="I133" s="44">
        <f t="shared" si="5"/>
        <v>46.8</v>
      </c>
      <c r="J133" s="46">
        <f t="shared" si="6"/>
        <v>18.72</v>
      </c>
      <c r="K133" s="47">
        <f t="shared" si="7"/>
        <v>19</v>
      </c>
    </row>
    <row r="134" spans="3:11">
      <c r="C134" s="42">
        <v>122</v>
      </c>
      <c r="D134" s="5" t="s">
        <v>268</v>
      </c>
      <c r="E134" s="13" t="s">
        <v>269</v>
      </c>
      <c r="F134" s="43">
        <f>Lab_CIE!P132</f>
        <v>30</v>
      </c>
      <c r="G134" s="43">
        <f>Lab_CIA!I132</f>
        <v>46</v>
      </c>
      <c r="H134" s="44">
        <f t="shared" si="4"/>
        <v>18.4</v>
      </c>
      <c r="I134" s="44">
        <f t="shared" si="5"/>
        <v>48.4</v>
      </c>
      <c r="J134" s="46">
        <f t="shared" si="6"/>
        <v>19.36</v>
      </c>
      <c r="K134" s="47">
        <f t="shared" si="7"/>
        <v>20</v>
      </c>
    </row>
    <row r="135" spans="3:11">
      <c r="C135" s="42">
        <v>123</v>
      </c>
      <c r="D135" s="5" t="s">
        <v>270</v>
      </c>
      <c r="E135" s="13" t="s">
        <v>271</v>
      </c>
      <c r="F135" s="43">
        <f>Lab_CIE!P133</f>
        <v>30</v>
      </c>
      <c r="G135" s="43">
        <f>Lab_CIA!I133</f>
        <v>40</v>
      </c>
      <c r="H135" s="44">
        <f t="shared" si="4"/>
        <v>16</v>
      </c>
      <c r="I135" s="44">
        <f t="shared" si="5"/>
        <v>46</v>
      </c>
      <c r="J135" s="46">
        <f t="shared" si="6"/>
        <v>18.4</v>
      </c>
      <c r="K135" s="47">
        <f t="shared" si="7"/>
        <v>19</v>
      </c>
    </row>
    <row r="136" spans="3:11">
      <c r="C136" s="42">
        <v>124</v>
      </c>
      <c r="D136" s="5" t="s">
        <v>272</v>
      </c>
      <c r="E136" s="13" t="s">
        <v>273</v>
      </c>
      <c r="F136" s="43">
        <f>Lab_CIE!P134</f>
        <v>30</v>
      </c>
      <c r="G136" s="43">
        <f>Lab_CIA!I134</f>
        <v>45</v>
      </c>
      <c r="H136" s="44">
        <f t="shared" si="4"/>
        <v>18</v>
      </c>
      <c r="I136" s="44">
        <f t="shared" si="5"/>
        <v>48</v>
      </c>
      <c r="J136" s="46">
        <f t="shared" si="6"/>
        <v>19.2</v>
      </c>
      <c r="K136" s="47">
        <f t="shared" si="7"/>
        <v>20</v>
      </c>
    </row>
    <row r="137" spans="3:11">
      <c r="C137" s="42">
        <v>125</v>
      </c>
      <c r="D137" s="5" t="s">
        <v>274</v>
      </c>
      <c r="E137" s="13" t="s">
        <v>275</v>
      </c>
      <c r="F137" s="43">
        <f>Lab_CIE!P135</f>
        <v>30</v>
      </c>
      <c r="G137" s="43">
        <f>Lab_CIA!I135</f>
        <v>0</v>
      </c>
      <c r="H137" s="44">
        <f t="shared" si="4"/>
        <v>0</v>
      </c>
      <c r="I137" s="44">
        <f t="shared" si="5"/>
        <v>30</v>
      </c>
      <c r="J137" s="46">
        <f t="shared" si="6"/>
        <v>12</v>
      </c>
      <c r="K137" s="47">
        <f t="shared" si="7"/>
        <v>12</v>
      </c>
    </row>
    <row r="138" spans="3:11">
      <c r="C138" s="42">
        <v>126</v>
      </c>
      <c r="D138" s="5" t="s">
        <v>276</v>
      </c>
      <c r="E138" s="13" t="s">
        <v>277</v>
      </c>
      <c r="F138" s="43">
        <f>Lab_CIE!P136</f>
        <v>29.3</v>
      </c>
      <c r="G138" s="43">
        <f>Lab_CIA!I136</f>
        <v>42</v>
      </c>
      <c r="H138" s="44">
        <f t="shared" si="4"/>
        <v>16.8</v>
      </c>
      <c r="I138" s="44">
        <f t="shared" si="5"/>
        <v>46.1</v>
      </c>
      <c r="J138" s="46">
        <f t="shared" si="6"/>
        <v>18.44</v>
      </c>
      <c r="K138" s="47">
        <f t="shared" si="7"/>
        <v>19</v>
      </c>
    </row>
    <row r="139" spans="3:11">
      <c r="C139" s="42">
        <v>127</v>
      </c>
      <c r="D139" s="5" t="s">
        <v>278</v>
      </c>
      <c r="E139" s="13" t="s">
        <v>279</v>
      </c>
      <c r="F139" s="43">
        <f>Lab_CIE!P137</f>
        <v>30</v>
      </c>
      <c r="G139" s="43">
        <f>Lab_CIA!I137</f>
        <v>42</v>
      </c>
      <c r="H139" s="44">
        <f t="shared" si="4"/>
        <v>16.8</v>
      </c>
      <c r="I139" s="44">
        <f t="shared" si="5"/>
        <v>46.8</v>
      </c>
      <c r="J139" s="46">
        <f t="shared" si="6"/>
        <v>18.72</v>
      </c>
      <c r="K139" s="47">
        <f t="shared" si="7"/>
        <v>19</v>
      </c>
    </row>
    <row r="140" spans="3:11">
      <c r="C140" s="42">
        <v>128</v>
      </c>
      <c r="D140" s="5" t="s">
        <v>280</v>
      </c>
      <c r="E140" s="13" t="s">
        <v>281</v>
      </c>
      <c r="F140" s="43">
        <f>Lab_CIE!P138</f>
        <v>27.8</v>
      </c>
      <c r="G140" s="43">
        <f>Lab_CIA!I138</f>
        <v>45</v>
      </c>
      <c r="H140" s="44">
        <f t="shared" si="4"/>
        <v>18</v>
      </c>
      <c r="I140" s="44">
        <f t="shared" si="5"/>
        <v>45.8</v>
      </c>
      <c r="J140" s="46">
        <f t="shared" si="6"/>
        <v>18.32</v>
      </c>
      <c r="K140" s="47">
        <f t="shared" si="7"/>
        <v>19</v>
      </c>
    </row>
    <row r="141" spans="3:11">
      <c r="C141" s="42">
        <v>129</v>
      </c>
      <c r="D141" s="5" t="s">
        <v>282</v>
      </c>
      <c r="E141" s="13" t="s">
        <v>283</v>
      </c>
      <c r="F141" s="43">
        <f>Lab_CIE!P139</f>
        <v>29.4</v>
      </c>
      <c r="G141" s="43">
        <f>Lab_CIA!I139</f>
        <v>47</v>
      </c>
      <c r="H141" s="44">
        <f t="shared" si="4"/>
        <v>18.8</v>
      </c>
      <c r="I141" s="44">
        <f t="shared" si="5"/>
        <v>48.2</v>
      </c>
      <c r="J141" s="46">
        <f t="shared" si="6"/>
        <v>19.28</v>
      </c>
      <c r="K141" s="47">
        <f t="shared" si="7"/>
        <v>20</v>
      </c>
    </row>
    <row r="142" ht="30" spans="3:11">
      <c r="C142" s="42">
        <v>130</v>
      </c>
      <c r="D142" s="5" t="s">
        <v>284</v>
      </c>
      <c r="E142" s="13" t="s">
        <v>285</v>
      </c>
      <c r="F142" s="43">
        <f>Lab_CIE!P140</f>
        <v>29.1</v>
      </c>
      <c r="G142" s="43">
        <f>Lab_CIA!I140</f>
        <v>43</v>
      </c>
      <c r="H142" s="44">
        <f t="shared" ref="H142:H205" si="8">((G142*20)/50)</f>
        <v>17.2</v>
      </c>
      <c r="I142" s="44">
        <f t="shared" ref="I142:I205" si="9">SUM(F142,H142)</f>
        <v>46.3</v>
      </c>
      <c r="J142" s="46">
        <f t="shared" ref="J142:J205" si="10">((I142*20)/50)</f>
        <v>18.52</v>
      </c>
      <c r="K142" s="47">
        <f t="shared" ref="K142:K205" si="11">ROUNDUP(J142,0)</f>
        <v>19</v>
      </c>
    </row>
    <row r="143" spans="3:11">
      <c r="C143" s="42">
        <v>131</v>
      </c>
      <c r="D143" s="5" t="s">
        <v>286</v>
      </c>
      <c r="E143" s="13" t="s">
        <v>287</v>
      </c>
      <c r="F143" s="43">
        <f>Lab_CIE!P141</f>
        <v>27.5</v>
      </c>
      <c r="G143" s="43">
        <f>Lab_CIA!I141</f>
        <v>39</v>
      </c>
      <c r="H143" s="44">
        <f t="shared" si="8"/>
        <v>15.6</v>
      </c>
      <c r="I143" s="44">
        <f t="shared" si="9"/>
        <v>43.1</v>
      </c>
      <c r="J143" s="46">
        <f t="shared" si="10"/>
        <v>17.24</v>
      </c>
      <c r="K143" s="47">
        <f t="shared" si="11"/>
        <v>18</v>
      </c>
    </row>
    <row r="144" spans="3:11">
      <c r="C144" s="42">
        <v>132</v>
      </c>
      <c r="D144" s="5" t="s">
        <v>288</v>
      </c>
      <c r="E144" s="13" t="s">
        <v>289</v>
      </c>
      <c r="F144" s="43">
        <f>Lab_CIE!P142</f>
        <v>29.2</v>
      </c>
      <c r="G144" s="43">
        <f>Lab_CIA!I142</f>
        <v>47</v>
      </c>
      <c r="H144" s="44">
        <f t="shared" si="8"/>
        <v>18.8</v>
      </c>
      <c r="I144" s="44">
        <f t="shared" si="9"/>
        <v>48</v>
      </c>
      <c r="J144" s="46">
        <f t="shared" si="10"/>
        <v>19.2</v>
      </c>
      <c r="K144" s="47">
        <f t="shared" si="11"/>
        <v>20</v>
      </c>
    </row>
    <row r="145" spans="3:11">
      <c r="C145" s="42">
        <v>133</v>
      </c>
      <c r="D145" s="5" t="s">
        <v>290</v>
      </c>
      <c r="E145" s="13" t="s">
        <v>291</v>
      </c>
      <c r="F145" s="43">
        <f>Lab_CIE!P143</f>
        <v>0</v>
      </c>
      <c r="G145" s="43">
        <f>Lab_CIA!I143</f>
        <v>0</v>
      </c>
      <c r="H145" s="44">
        <f t="shared" si="8"/>
        <v>0</v>
      </c>
      <c r="I145" s="44">
        <f t="shared" si="9"/>
        <v>0</v>
      </c>
      <c r="J145" s="46">
        <f t="shared" si="10"/>
        <v>0</v>
      </c>
      <c r="K145" s="47">
        <f t="shared" si="11"/>
        <v>0</v>
      </c>
    </row>
    <row r="146" ht="30" spans="3:11">
      <c r="C146" s="42">
        <v>134</v>
      </c>
      <c r="D146" s="5" t="s">
        <v>292</v>
      </c>
      <c r="E146" s="13" t="s">
        <v>293</v>
      </c>
      <c r="F146" s="43">
        <f>Lab_CIE!P144</f>
        <v>27.6</v>
      </c>
      <c r="G146" s="43">
        <f>Lab_CIA!I144</f>
        <v>43</v>
      </c>
      <c r="H146" s="44">
        <f t="shared" si="8"/>
        <v>17.2</v>
      </c>
      <c r="I146" s="44">
        <f t="shared" si="9"/>
        <v>44.8</v>
      </c>
      <c r="J146" s="46">
        <f t="shared" si="10"/>
        <v>17.92</v>
      </c>
      <c r="K146" s="47">
        <f t="shared" si="11"/>
        <v>18</v>
      </c>
    </row>
    <row r="147" spans="3:11">
      <c r="C147" s="42">
        <v>135</v>
      </c>
      <c r="D147" s="5" t="s">
        <v>295</v>
      </c>
      <c r="E147" s="13" t="s">
        <v>296</v>
      </c>
      <c r="F147" s="43">
        <f>Lab_CIE!P145</f>
        <v>28.2</v>
      </c>
      <c r="G147" s="43">
        <f>Lab_CIA!I145</f>
        <v>47</v>
      </c>
      <c r="H147" s="44">
        <f t="shared" si="8"/>
        <v>18.8</v>
      </c>
      <c r="I147" s="44">
        <f t="shared" si="9"/>
        <v>47</v>
      </c>
      <c r="J147" s="46">
        <f t="shared" si="10"/>
        <v>18.8</v>
      </c>
      <c r="K147" s="47">
        <f t="shared" si="11"/>
        <v>19</v>
      </c>
    </row>
    <row r="148" spans="3:11">
      <c r="C148" s="42">
        <v>136</v>
      </c>
      <c r="D148" s="5" t="s">
        <v>297</v>
      </c>
      <c r="E148" s="13" t="s">
        <v>298</v>
      </c>
      <c r="F148" s="43">
        <f>Lab_CIE!P146</f>
        <v>28.1</v>
      </c>
      <c r="G148" s="43">
        <f>Lab_CIA!I146</f>
        <v>45</v>
      </c>
      <c r="H148" s="44">
        <f t="shared" si="8"/>
        <v>18</v>
      </c>
      <c r="I148" s="44">
        <f t="shared" si="9"/>
        <v>46.1</v>
      </c>
      <c r="J148" s="46">
        <f t="shared" si="10"/>
        <v>18.44</v>
      </c>
      <c r="K148" s="47">
        <f t="shared" si="11"/>
        <v>19</v>
      </c>
    </row>
    <row r="149" spans="3:11">
      <c r="C149" s="42">
        <v>137</v>
      </c>
      <c r="D149" s="5" t="s">
        <v>299</v>
      </c>
      <c r="E149" s="13" t="s">
        <v>300</v>
      </c>
      <c r="F149" s="43">
        <f>Lab_CIE!P147</f>
        <v>29.4</v>
      </c>
      <c r="G149" s="43">
        <f>Lab_CIA!I147</f>
        <v>49</v>
      </c>
      <c r="H149" s="44">
        <f t="shared" si="8"/>
        <v>19.6</v>
      </c>
      <c r="I149" s="44">
        <f t="shared" si="9"/>
        <v>49</v>
      </c>
      <c r="J149" s="46">
        <f t="shared" si="10"/>
        <v>19.6</v>
      </c>
      <c r="K149" s="47">
        <f t="shared" si="11"/>
        <v>20</v>
      </c>
    </row>
    <row r="150" spans="3:11">
      <c r="C150" s="42">
        <v>138</v>
      </c>
      <c r="D150" s="5" t="s">
        <v>301</v>
      </c>
      <c r="E150" s="13" t="s">
        <v>302</v>
      </c>
      <c r="F150" s="43">
        <f>Lab_CIE!P148</f>
        <v>29.6</v>
      </c>
      <c r="G150" s="43">
        <f>Lab_CIA!I148</f>
        <v>47</v>
      </c>
      <c r="H150" s="44">
        <f t="shared" si="8"/>
        <v>18.8</v>
      </c>
      <c r="I150" s="44">
        <f t="shared" si="9"/>
        <v>48.4</v>
      </c>
      <c r="J150" s="46">
        <f t="shared" si="10"/>
        <v>19.36</v>
      </c>
      <c r="K150" s="47">
        <f t="shared" si="11"/>
        <v>20</v>
      </c>
    </row>
    <row r="151" spans="3:11">
      <c r="C151" s="42">
        <v>139</v>
      </c>
      <c r="D151" s="5" t="s">
        <v>303</v>
      </c>
      <c r="E151" s="13" t="s">
        <v>304</v>
      </c>
      <c r="F151" s="43">
        <f>Lab_CIE!P149</f>
        <v>28.4</v>
      </c>
      <c r="G151" s="43">
        <f>Lab_CIA!I149</f>
        <v>41</v>
      </c>
      <c r="H151" s="44">
        <f t="shared" si="8"/>
        <v>16.4</v>
      </c>
      <c r="I151" s="44">
        <f t="shared" si="9"/>
        <v>44.8</v>
      </c>
      <c r="J151" s="46">
        <f t="shared" si="10"/>
        <v>17.92</v>
      </c>
      <c r="K151" s="47">
        <f t="shared" si="11"/>
        <v>18</v>
      </c>
    </row>
    <row r="152" spans="3:11">
      <c r="C152" s="42">
        <v>140</v>
      </c>
      <c r="D152" s="5" t="s">
        <v>305</v>
      </c>
      <c r="E152" s="13" t="s">
        <v>306</v>
      </c>
      <c r="F152" s="43">
        <f>Lab_CIE!P150</f>
        <v>29.5</v>
      </c>
      <c r="G152" s="43">
        <f>Lab_CIA!I150</f>
        <v>45</v>
      </c>
      <c r="H152" s="44">
        <f t="shared" si="8"/>
        <v>18</v>
      </c>
      <c r="I152" s="44">
        <f t="shared" si="9"/>
        <v>47.5</v>
      </c>
      <c r="J152" s="46">
        <f t="shared" si="10"/>
        <v>19</v>
      </c>
      <c r="K152" s="47">
        <f t="shared" si="11"/>
        <v>19</v>
      </c>
    </row>
    <row r="153" spans="3:11">
      <c r="C153" s="42">
        <v>141</v>
      </c>
      <c r="D153" s="5" t="s">
        <v>307</v>
      </c>
      <c r="E153" s="13" t="s">
        <v>308</v>
      </c>
      <c r="F153" s="43">
        <f>Lab_CIE!P151</f>
        <v>29.3</v>
      </c>
      <c r="G153" s="43">
        <f>Lab_CIA!I151</f>
        <v>45</v>
      </c>
      <c r="H153" s="44">
        <f t="shared" si="8"/>
        <v>18</v>
      </c>
      <c r="I153" s="44">
        <f t="shared" si="9"/>
        <v>47.3</v>
      </c>
      <c r="J153" s="46">
        <f t="shared" si="10"/>
        <v>18.92</v>
      </c>
      <c r="K153" s="47">
        <f t="shared" si="11"/>
        <v>19</v>
      </c>
    </row>
    <row r="154" spans="3:11">
      <c r="C154" s="42">
        <v>142</v>
      </c>
      <c r="D154" s="5" t="s">
        <v>309</v>
      </c>
      <c r="E154" s="13" t="s">
        <v>310</v>
      </c>
      <c r="F154" s="43">
        <f>Lab_CIE!P152</f>
        <v>29</v>
      </c>
      <c r="G154" s="43">
        <f>Lab_CIA!I152</f>
        <v>50</v>
      </c>
      <c r="H154" s="44">
        <f t="shared" si="8"/>
        <v>20</v>
      </c>
      <c r="I154" s="44">
        <f t="shared" si="9"/>
        <v>49</v>
      </c>
      <c r="J154" s="46">
        <f t="shared" si="10"/>
        <v>19.6</v>
      </c>
      <c r="K154" s="47">
        <f t="shared" si="11"/>
        <v>20</v>
      </c>
    </row>
    <row r="155" spans="3:11">
      <c r="C155" s="42">
        <v>143</v>
      </c>
      <c r="D155" s="5" t="s">
        <v>311</v>
      </c>
      <c r="E155" s="13" t="s">
        <v>312</v>
      </c>
      <c r="F155" s="43">
        <f>Lab_CIE!P153</f>
        <v>28.4</v>
      </c>
      <c r="G155" s="43">
        <f>Lab_CIA!I153</f>
        <v>44</v>
      </c>
      <c r="H155" s="44">
        <f t="shared" si="8"/>
        <v>17.6</v>
      </c>
      <c r="I155" s="44">
        <f t="shared" si="9"/>
        <v>46</v>
      </c>
      <c r="J155" s="46">
        <f t="shared" si="10"/>
        <v>18.4</v>
      </c>
      <c r="K155" s="47">
        <f t="shared" si="11"/>
        <v>19</v>
      </c>
    </row>
    <row r="156" spans="3:11">
      <c r="C156" s="42">
        <v>144</v>
      </c>
      <c r="D156" s="5" t="s">
        <v>313</v>
      </c>
      <c r="E156" s="13" t="s">
        <v>314</v>
      </c>
      <c r="F156" s="43">
        <f>Lab_CIE!P154</f>
        <v>28.1</v>
      </c>
      <c r="G156" s="43">
        <f>Lab_CIA!I154</f>
        <v>46</v>
      </c>
      <c r="H156" s="44">
        <f t="shared" si="8"/>
        <v>18.4</v>
      </c>
      <c r="I156" s="44">
        <f t="shared" si="9"/>
        <v>46.5</v>
      </c>
      <c r="J156" s="46">
        <f t="shared" si="10"/>
        <v>18.6</v>
      </c>
      <c r="K156" s="47">
        <f t="shared" si="11"/>
        <v>19</v>
      </c>
    </row>
    <row r="157" spans="3:11">
      <c r="C157" s="42">
        <v>145</v>
      </c>
      <c r="D157" s="5" t="s">
        <v>315</v>
      </c>
      <c r="E157" s="13" t="s">
        <v>316</v>
      </c>
      <c r="F157" s="43">
        <f>Lab_CIE!P155</f>
        <v>28.6</v>
      </c>
      <c r="G157" s="43">
        <f>Lab_CIA!I155</f>
        <v>45</v>
      </c>
      <c r="H157" s="44">
        <f t="shared" si="8"/>
        <v>18</v>
      </c>
      <c r="I157" s="44">
        <f t="shared" si="9"/>
        <v>46.6</v>
      </c>
      <c r="J157" s="46">
        <f t="shared" si="10"/>
        <v>18.64</v>
      </c>
      <c r="K157" s="47">
        <f t="shared" si="11"/>
        <v>19</v>
      </c>
    </row>
    <row r="158" spans="3:11">
      <c r="C158" s="42">
        <v>146</v>
      </c>
      <c r="D158" s="5" t="s">
        <v>317</v>
      </c>
      <c r="E158" s="13" t="s">
        <v>318</v>
      </c>
      <c r="F158" s="43">
        <f>Lab_CIE!P156</f>
        <v>28.6</v>
      </c>
      <c r="G158" s="43">
        <f>Lab_CIA!I156</f>
        <v>40</v>
      </c>
      <c r="H158" s="44">
        <f t="shared" si="8"/>
        <v>16</v>
      </c>
      <c r="I158" s="44">
        <f t="shared" si="9"/>
        <v>44.6</v>
      </c>
      <c r="J158" s="46">
        <f t="shared" si="10"/>
        <v>17.84</v>
      </c>
      <c r="K158" s="47">
        <f t="shared" si="11"/>
        <v>18</v>
      </c>
    </row>
    <row r="159" spans="3:11">
      <c r="C159" s="42">
        <v>147</v>
      </c>
      <c r="D159" s="5" t="s">
        <v>319</v>
      </c>
      <c r="E159" s="13" t="s">
        <v>320</v>
      </c>
      <c r="F159" s="43">
        <f>Lab_CIE!P157</f>
        <v>28.4</v>
      </c>
      <c r="G159" s="43">
        <f>Lab_CIA!I157</f>
        <v>42</v>
      </c>
      <c r="H159" s="44">
        <f t="shared" si="8"/>
        <v>16.8</v>
      </c>
      <c r="I159" s="44">
        <f t="shared" si="9"/>
        <v>45.2</v>
      </c>
      <c r="J159" s="46">
        <f t="shared" si="10"/>
        <v>18.08</v>
      </c>
      <c r="K159" s="47">
        <f t="shared" si="11"/>
        <v>19</v>
      </c>
    </row>
    <row r="160" spans="3:11">
      <c r="C160" s="42">
        <v>148</v>
      </c>
      <c r="D160" s="5" t="s">
        <v>321</v>
      </c>
      <c r="E160" s="13" t="s">
        <v>322</v>
      </c>
      <c r="F160" s="43">
        <f>Lab_CIE!P158</f>
        <v>28.9</v>
      </c>
      <c r="G160" s="43">
        <f>Lab_CIA!I158</f>
        <v>44</v>
      </c>
      <c r="H160" s="44">
        <f t="shared" si="8"/>
        <v>17.6</v>
      </c>
      <c r="I160" s="44">
        <f t="shared" si="9"/>
        <v>46.5</v>
      </c>
      <c r="J160" s="46">
        <f t="shared" si="10"/>
        <v>18.6</v>
      </c>
      <c r="K160" s="47">
        <f t="shared" si="11"/>
        <v>19</v>
      </c>
    </row>
    <row r="161" spans="3:11">
      <c r="C161" s="42">
        <v>149</v>
      </c>
      <c r="D161" s="5" t="s">
        <v>323</v>
      </c>
      <c r="E161" s="13" t="s">
        <v>324</v>
      </c>
      <c r="F161" s="43">
        <f>Lab_CIE!P159</f>
        <v>29.1</v>
      </c>
      <c r="G161" s="43">
        <f>Lab_CIA!I159</f>
        <v>44</v>
      </c>
      <c r="H161" s="44">
        <f t="shared" si="8"/>
        <v>17.6</v>
      </c>
      <c r="I161" s="44">
        <f t="shared" si="9"/>
        <v>46.7</v>
      </c>
      <c r="J161" s="46">
        <f t="shared" si="10"/>
        <v>18.68</v>
      </c>
      <c r="K161" s="47">
        <f t="shared" si="11"/>
        <v>19</v>
      </c>
    </row>
    <row r="162" spans="3:11">
      <c r="C162" s="42">
        <v>150</v>
      </c>
      <c r="D162" s="5" t="s">
        <v>325</v>
      </c>
      <c r="E162" s="13" t="s">
        <v>326</v>
      </c>
      <c r="F162" s="43">
        <f>Lab_CIE!P160</f>
        <v>28.7</v>
      </c>
      <c r="G162" s="43">
        <f>Lab_CIA!I160</f>
        <v>45</v>
      </c>
      <c r="H162" s="44">
        <f t="shared" si="8"/>
        <v>18</v>
      </c>
      <c r="I162" s="44">
        <f t="shared" si="9"/>
        <v>46.7</v>
      </c>
      <c r="J162" s="46">
        <f t="shared" si="10"/>
        <v>18.68</v>
      </c>
      <c r="K162" s="47">
        <f t="shared" si="11"/>
        <v>19</v>
      </c>
    </row>
    <row r="163" spans="3:11">
      <c r="C163" s="42">
        <v>151</v>
      </c>
      <c r="D163" s="5" t="s">
        <v>327</v>
      </c>
      <c r="E163" s="13" t="s">
        <v>328</v>
      </c>
      <c r="F163" s="43">
        <f>Lab_CIE!P161</f>
        <v>27.2</v>
      </c>
      <c r="G163" s="43">
        <f>Lab_CIA!I161</f>
        <v>42</v>
      </c>
      <c r="H163" s="44">
        <f t="shared" si="8"/>
        <v>16.8</v>
      </c>
      <c r="I163" s="44">
        <f t="shared" si="9"/>
        <v>44</v>
      </c>
      <c r="J163" s="46">
        <f t="shared" si="10"/>
        <v>17.6</v>
      </c>
      <c r="K163" s="47">
        <f t="shared" si="11"/>
        <v>18</v>
      </c>
    </row>
    <row r="164" spans="3:11">
      <c r="C164" s="42">
        <v>152</v>
      </c>
      <c r="D164" s="5" t="s">
        <v>329</v>
      </c>
      <c r="E164" s="13" t="s">
        <v>330</v>
      </c>
      <c r="F164" s="43">
        <f>Lab_CIE!P162</f>
        <v>28.7</v>
      </c>
      <c r="G164" s="43">
        <f>Lab_CIA!I162</f>
        <v>41</v>
      </c>
      <c r="H164" s="44">
        <f t="shared" si="8"/>
        <v>16.4</v>
      </c>
      <c r="I164" s="44">
        <f t="shared" si="9"/>
        <v>45.1</v>
      </c>
      <c r="J164" s="46">
        <f t="shared" si="10"/>
        <v>18.04</v>
      </c>
      <c r="K164" s="47">
        <f t="shared" si="11"/>
        <v>19</v>
      </c>
    </row>
    <row r="165" spans="3:11">
      <c r="C165" s="42">
        <v>153</v>
      </c>
      <c r="D165" s="5" t="s">
        <v>331</v>
      </c>
      <c r="E165" s="13" t="s">
        <v>332</v>
      </c>
      <c r="F165" s="43">
        <f>Lab_CIE!P163</f>
        <v>28.5</v>
      </c>
      <c r="G165" s="43">
        <f>Lab_CIA!I163</f>
        <v>39</v>
      </c>
      <c r="H165" s="44">
        <f t="shared" si="8"/>
        <v>15.6</v>
      </c>
      <c r="I165" s="44">
        <f t="shared" si="9"/>
        <v>44.1</v>
      </c>
      <c r="J165" s="46">
        <f t="shared" si="10"/>
        <v>17.64</v>
      </c>
      <c r="K165" s="47">
        <f t="shared" si="11"/>
        <v>18</v>
      </c>
    </row>
    <row r="166" spans="3:11">
      <c r="C166" s="42">
        <v>154</v>
      </c>
      <c r="D166" s="5" t="s">
        <v>333</v>
      </c>
      <c r="E166" s="13" t="s">
        <v>334</v>
      </c>
      <c r="F166" s="43">
        <f>Lab_CIE!P164</f>
        <v>28</v>
      </c>
      <c r="G166" s="43">
        <f>Lab_CIA!I164</f>
        <v>42</v>
      </c>
      <c r="H166" s="44">
        <f t="shared" si="8"/>
        <v>16.8</v>
      </c>
      <c r="I166" s="44">
        <f t="shared" si="9"/>
        <v>44.8</v>
      </c>
      <c r="J166" s="46">
        <f t="shared" si="10"/>
        <v>17.92</v>
      </c>
      <c r="K166" s="47">
        <f t="shared" si="11"/>
        <v>18</v>
      </c>
    </row>
    <row r="167" spans="3:11">
      <c r="C167" s="42">
        <v>155</v>
      </c>
      <c r="D167" s="5" t="s">
        <v>335</v>
      </c>
      <c r="E167" s="13" t="s">
        <v>336</v>
      </c>
      <c r="F167" s="43">
        <f>Lab_CIE!P165</f>
        <v>28</v>
      </c>
      <c r="G167" s="43">
        <f>Lab_CIA!I165</f>
        <v>42</v>
      </c>
      <c r="H167" s="44">
        <f t="shared" si="8"/>
        <v>16.8</v>
      </c>
      <c r="I167" s="44">
        <f t="shared" si="9"/>
        <v>44.8</v>
      </c>
      <c r="J167" s="46">
        <f t="shared" si="10"/>
        <v>17.92</v>
      </c>
      <c r="K167" s="47">
        <f t="shared" si="11"/>
        <v>18</v>
      </c>
    </row>
    <row r="168" spans="3:11">
      <c r="C168" s="42">
        <v>156</v>
      </c>
      <c r="D168" s="5" t="s">
        <v>337</v>
      </c>
      <c r="E168" s="13" t="s">
        <v>338</v>
      </c>
      <c r="F168" s="43">
        <f>Lab_CIE!P166</f>
        <v>28.4</v>
      </c>
      <c r="G168" s="43">
        <f>Lab_CIA!I166</f>
        <v>49</v>
      </c>
      <c r="H168" s="44">
        <f t="shared" si="8"/>
        <v>19.6</v>
      </c>
      <c r="I168" s="44">
        <f t="shared" si="9"/>
        <v>48</v>
      </c>
      <c r="J168" s="46">
        <f t="shared" si="10"/>
        <v>19.2</v>
      </c>
      <c r="K168" s="47">
        <f t="shared" si="11"/>
        <v>20</v>
      </c>
    </row>
    <row r="169" spans="3:11">
      <c r="C169" s="42">
        <v>157</v>
      </c>
      <c r="D169" s="5" t="s">
        <v>339</v>
      </c>
      <c r="E169" s="13" t="s">
        <v>340</v>
      </c>
      <c r="F169" s="43">
        <f>Lab_CIE!P167</f>
        <v>29</v>
      </c>
      <c r="G169" s="43">
        <f>Lab_CIA!I167</f>
        <v>45</v>
      </c>
      <c r="H169" s="44">
        <f t="shared" si="8"/>
        <v>18</v>
      </c>
      <c r="I169" s="44">
        <f t="shared" si="9"/>
        <v>47</v>
      </c>
      <c r="J169" s="46">
        <f t="shared" si="10"/>
        <v>18.8</v>
      </c>
      <c r="K169" s="47">
        <f t="shared" si="11"/>
        <v>19</v>
      </c>
    </row>
    <row r="170" spans="3:11">
      <c r="C170" s="42">
        <v>158</v>
      </c>
      <c r="D170" s="5" t="s">
        <v>341</v>
      </c>
      <c r="E170" s="13" t="s">
        <v>342</v>
      </c>
      <c r="F170" s="43">
        <f>Lab_CIE!P168</f>
        <v>28.5</v>
      </c>
      <c r="G170" s="43">
        <f>Lab_CIA!I168</f>
        <v>41</v>
      </c>
      <c r="H170" s="44">
        <f t="shared" si="8"/>
        <v>16.4</v>
      </c>
      <c r="I170" s="44">
        <f t="shared" si="9"/>
        <v>44.9</v>
      </c>
      <c r="J170" s="46">
        <f t="shared" si="10"/>
        <v>17.96</v>
      </c>
      <c r="K170" s="47">
        <f t="shared" si="11"/>
        <v>18</v>
      </c>
    </row>
    <row r="171" spans="3:11">
      <c r="C171" s="42">
        <v>159</v>
      </c>
      <c r="D171" s="5" t="s">
        <v>343</v>
      </c>
      <c r="E171" s="13" t="s">
        <v>344</v>
      </c>
      <c r="F171" s="43">
        <f>Lab_CIE!P169</f>
        <v>27.9</v>
      </c>
      <c r="G171" s="43">
        <f>Lab_CIA!I169</f>
        <v>38</v>
      </c>
      <c r="H171" s="44">
        <f t="shared" si="8"/>
        <v>15.2</v>
      </c>
      <c r="I171" s="44">
        <f t="shared" si="9"/>
        <v>43.1</v>
      </c>
      <c r="J171" s="46">
        <f t="shared" si="10"/>
        <v>17.24</v>
      </c>
      <c r="K171" s="47">
        <f t="shared" si="11"/>
        <v>18</v>
      </c>
    </row>
    <row r="172" spans="3:11">
      <c r="C172" s="42">
        <v>160</v>
      </c>
      <c r="D172" s="5" t="s">
        <v>345</v>
      </c>
      <c r="E172" s="13" t="s">
        <v>346</v>
      </c>
      <c r="F172" s="43">
        <f>Lab_CIE!P170</f>
        <v>27.9</v>
      </c>
      <c r="G172" s="43">
        <f>Lab_CIA!I170</f>
        <v>42</v>
      </c>
      <c r="H172" s="44">
        <f t="shared" si="8"/>
        <v>16.8</v>
      </c>
      <c r="I172" s="44">
        <f t="shared" si="9"/>
        <v>44.7</v>
      </c>
      <c r="J172" s="46">
        <f t="shared" si="10"/>
        <v>17.88</v>
      </c>
      <c r="K172" s="47">
        <f t="shared" si="11"/>
        <v>18</v>
      </c>
    </row>
    <row r="173" ht="30" spans="3:11">
      <c r="C173" s="42">
        <v>161</v>
      </c>
      <c r="D173" s="5" t="s">
        <v>347</v>
      </c>
      <c r="E173" s="13" t="s">
        <v>348</v>
      </c>
      <c r="F173" s="43">
        <f>Lab_CIE!P171</f>
        <v>28.3</v>
      </c>
      <c r="G173" s="43">
        <f>Lab_CIA!I171</f>
        <v>42</v>
      </c>
      <c r="H173" s="44">
        <f t="shared" si="8"/>
        <v>16.8</v>
      </c>
      <c r="I173" s="44">
        <f t="shared" si="9"/>
        <v>45.1</v>
      </c>
      <c r="J173" s="46">
        <f t="shared" si="10"/>
        <v>18.04</v>
      </c>
      <c r="K173" s="47">
        <f t="shared" si="11"/>
        <v>19</v>
      </c>
    </row>
    <row r="174" spans="3:11">
      <c r="C174" s="42">
        <v>162</v>
      </c>
      <c r="D174" s="5" t="s">
        <v>349</v>
      </c>
      <c r="E174" s="13" t="s">
        <v>350</v>
      </c>
      <c r="F174" s="43">
        <f>Lab_CIE!P172</f>
        <v>28.1</v>
      </c>
      <c r="G174" s="43">
        <f>Lab_CIA!I172</f>
        <v>49</v>
      </c>
      <c r="H174" s="44">
        <f t="shared" si="8"/>
        <v>19.6</v>
      </c>
      <c r="I174" s="44">
        <f t="shared" si="9"/>
        <v>47.7</v>
      </c>
      <c r="J174" s="46">
        <f t="shared" si="10"/>
        <v>19.08</v>
      </c>
      <c r="K174" s="47">
        <f t="shared" si="11"/>
        <v>20</v>
      </c>
    </row>
    <row r="175" spans="3:11">
      <c r="C175" s="42">
        <v>163</v>
      </c>
      <c r="D175" s="5" t="s">
        <v>351</v>
      </c>
      <c r="E175" s="13" t="s">
        <v>352</v>
      </c>
      <c r="F175" s="43">
        <f>Lab_CIE!P173</f>
        <v>28.3</v>
      </c>
      <c r="G175" s="43">
        <f>Lab_CIA!I173</f>
        <v>45</v>
      </c>
      <c r="H175" s="44">
        <f t="shared" si="8"/>
        <v>18</v>
      </c>
      <c r="I175" s="44">
        <f t="shared" si="9"/>
        <v>46.3</v>
      </c>
      <c r="J175" s="46">
        <f t="shared" si="10"/>
        <v>18.52</v>
      </c>
      <c r="K175" s="47">
        <f t="shared" si="11"/>
        <v>19</v>
      </c>
    </row>
    <row r="176" spans="3:11">
      <c r="C176" s="42">
        <v>164</v>
      </c>
      <c r="D176" s="5" t="s">
        <v>353</v>
      </c>
      <c r="E176" s="13" t="s">
        <v>354</v>
      </c>
      <c r="F176" s="43">
        <f>Lab_CIE!P174</f>
        <v>27.4</v>
      </c>
      <c r="G176" s="43">
        <f>Lab_CIA!I174</f>
        <v>45</v>
      </c>
      <c r="H176" s="44">
        <f t="shared" si="8"/>
        <v>18</v>
      </c>
      <c r="I176" s="44">
        <f t="shared" si="9"/>
        <v>45.4</v>
      </c>
      <c r="J176" s="46">
        <f t="shared" si="10"/>
        <v>18.16</v>
      </c>
      <c r="K176" s="47">
        <f t="shared" si="11"/>
        <v>19</v>
      </c>
    </row>
    <row r="177" ht="30" spans="3:11">
      <c r="C177" s="42">
        <v>165</v>
      </c>
      <c r="D177" s="5" t="s">
        <v>355</v>
      </c>
      <c r="E177" s="13" t="s">
        <v>356</v>
      </c>
      <c r="F177" s="43">
        <f>Lab_CIE!P175</f>
        <v>29.2</v>
      </c>
      <c r="G177" s="43">
        <f>Lab_CIA!I175</f>
        <v>47</v>
      </c>
      <c r="H177" s="44">
        <f t="shared" si="8"/>
        <v>18.8</v>
      </c>
      <c r="I177" s="44">
        <f t="shared" si="9"/>
        <v>48</v>
      </c>
      <c r="J177" s="46">
        <f t="shared" si="10"/>
        <v>19.2</v>
      </c>
      <c r="K177" s="47">
        <f t="shared" si="11"/>
        <v>20</v>
      </c>
    </row>
    <row r="178" spans="3:11">
      <c r="C178" s="42">
        <v>166</v>
      </c>
      <c r="D178" s="5" t="s">
        <v>357</v>
      </c>
      <c r="E178" s="13" t="s">
        <v>358</v>
      </c>
      <c r="F178" s="43">
        <f>Lab_CIE!P176</f>
        <v>28.3</v>
      </c>
      <c r="G178" s="43">
        <f>Lab_CIA!I176</f>
        <v>49</v>
      </c>
      <c r="H178" s="44">
        <f t="shared" si="8"/>
        <v>19.6</v>
      </c>
      <c r="I178" s="44">
        <f t="shared" si="9"/>
        <v>47.9</v>
      </c>
      <c r="J178" s="46">
        <f t="shared" si="10"/>
        <v>19.16</v>
      </c>
      <c r="K178" s="47">
        <f t="shared" si="11"/>
        <v>20</v>
      </c>
    </row>
    <row r="179" spans="3:11">
      <c r="C179" s="42">
        <v>167</v>
      </c>
      <c r="D179" s="5" t="s">
        <v>359</v>
      </c>
      <c r="E179" s="13" t="s">
        <v>360</v>
      </c>
      <c r="F179" s="43">
        <f>Lab_CIE!P177</f>
        <v>29.6</v>
      </c>
      <c r="G179" s="43">
        <f>Lab_CIA!I177</f>
        <v>50</v>
      </c>
      <c r="H179" s="44">
        <f t="shared" si="8"/>
        <v>20</v>
      </c>
      <c r="I179" s="44">
        <f t="shared" si="9"/>
        <v>49.6</v>
      </c>
      <c r="J179" s="46">
        <f t="shared" si="10"/>
        <v>19.84</v>
      </c>
      <c r="K179" s="47">
        <f t="shared" si="11"/>
        <v>20</v>
      </c>
    </row>
    <row r="180" spans="3:11">
      <c r="C180" s="42">
        <v>168</v>
      </c>
      <c r="D180" s="5" t="s">
        <v>361</v>
      </c>
      <c r="E180" s="13" t="s">
        <v>362</v>
      </c>
      <c r="F180" s="43">
        <f>Lab_CIE!P178</f>
        <v>28.8</v>
      </c>
      <c r="G180" s="43">
        <f>Lab_CIA!I178</f>
        <v>45</v>
      </c>
      <c r="H180" s="44">
        <f t="shared" si="8"/>
        <v>18</v>
      </c>
      <c r="I180" s="44">
        <f t="shared" si="9"/>
        <v>46.8</v>
      </c>
      <c r="J180" s="46">
        <f t="shared" si="10"/>
        <v>18.72</v>
      </c>
      <c r="K180" s="47">
        <f t="shared" si="11"/>
        <v>19</v>
      </c>
    </row>
    <row r="181" spans="3:11">
      <c r="C181" s="42">
        <v>169</v>
      </c>
      <c r="D181" s="5" t="s">
        <v>363</v>
      </c>
      <c r="E181" s="13" t="s">
        <v>364</v>
      </c>
      <c r="F181" s="43">
        <f>Lab_CIE!P179</f>
        <v>27.4</v>
      </c>
      <c r="G181" s="43">
        <f>Lab_CIA!I179</f>
        <v>36</v>
      </c>
      <c r="H181" s="44">
        <f t="shared" si="8"/>
        <v>14.4</v>
      </c>
      <c r="I181" s="44">
        <f t="shared" si="9"/>
        <v>41.8</v>
      </c>
      <c r="J181" s="46">
        <f t="shared" si="10"/>
        <v>16.72</v>
      </c>
      <c r="K181" s="47">
        <f t="shared" si="11"/>
        <v>17</v>
      </c>
    </row>
    <row r="182" spans="3:11">
      <c r="C182" s="42">
        <v>170</v>
      </c>
      <c r="D182" s="5" t="s">
        <v>365</v>
      </c>
      <c r="E182" s="13" t="s">
        <v>366</v>
      </c>
      <c r="F182" s="43">
        <f>Lab_CIE!P180</f>
        <v>28.3</v>
      </c>
      <c r="G182" s="43">
        <f>Lab_CIA!I180</f>
        <v>43</v>
      </c>
      <c r="H182" s="44">
        <f t="shared" si="8"/>
        <v>17.2</v>
      </c>
      <c r="I182" s="44">
        <f t="shared" si="9"/>
        <v>45.5</v>
      </c>
      <c r="J182" s="46">
        <f t="shared" si="10"/>
        <v>18.2</v>
      </c>
      <c r="K182" s="47">
        <f t="shared" si="11"/>
        <v>19</v>
      </c>
    </row>
    <row r="183" spans="3:11">
      <c r="C183" s="42">
        <v>171</v>
      </c>
      <c r="D183" s="5" t="s">
        <v>367</v>
      </c>
      <c r="E183" s="13" t="s">
        <v>368</v>
      </c>
      <c r="F183" s="43">
        <f>Lab_CIE!P181</f>
        <v>28.8</v>
      </c>
      <c r="G183" s="43">
        <f>Lab_CIA!I181</f>
        <v>43</v>
      </c>
      <c r="H183" s="44">
        <f t="shared" si="8"/>
        <v>17.2</v>
      </c>
      <c r="I183" s="44">
        <f t="shared" si="9"/>
        <v>46</v>
      </c>
      <c r="J183" s="46">
        <f t="shared" si="10"/>
        <v>18.4</v>
      </c>
      <c r="K183" s="47">
        <f t="shared" si="11"/>
        <v>19</v>
      </c>
    </row>
    <row r="184" spans="3:11">
      <c r="C184" s="42">
        <v>172</v>
      </c>
      <c r="D184" s="5" t="s">
        <v>369</v>
      </c>
      <c r="E184" s="13" t="s">
        <v>370</v>
      </c>
      <c r="F184" s="43">
        <f>Lab_CIE!P182</f>
        <v>27.5</v>
      </c>
      <c r="G184" s="43">
        <f>Lab_CIA!I182</f>
        <v>37</v>
      </c>
      <c r="H184" s="44">
        <f t="shared" si="8"/>
        <v>14.8</v>
      </c>
      <c r="I184" s="44">
        <f t="shared" si="9"/>
        <v>42.3</v>
      </c>
      <c r="J184" s="46">
        <f t="shared" si="10"/>
        <v>16.92</v>
      </c>
      <c r="K184" s="47">
        <f t="shared" si="11"/>
        <v>17</v>
      </c>
    </row>
    <row r="185" spans="3:11">
      <c r="C185" s="42">
        <v>173</v>
      </c>
      <c r="D185" s="5" t="s">
        <v>371</v>
      </c>
      <c r="E185" s="13" t="s">
        <v>372</v>
      </c>
      <c r="F185" s="43">
        <f>Lab_CIE!P183</f>
        <v>27.6</v>
      </c>
      <c r="G185" s="43">
        <f>Lab_CIA!I183</f>
        <v>43</v>
      </c>
      <c r="H185" s="44">
        <f t="shared" si="8"/>
        <v>17.2</v>
      </c>
      <c r="I185" s="44">
        <f t="shared" si="9"/>
        <v>44.8</v>
      </c>
      <c r="J185" s="46">
        <f t="shared" si="10"/>
        <v>17.92</v>
      </c>
      <c r="K185" s="47">
        <f t="shared" si="11"/>
        <v>18</v>
      </c>
    </row>
    <row r="186" spans="3:11">
      <c r="C186" s="42">
        <v>174</v>
      </c>
      <c r="D186" s="5" t="s">
        <v>373</v>
      </c>
      <c r="E186" s="13" t="s">
        <v>374</v>
      </c>
      <c r="F186" s="43">
        <f>Lab_CIE!P184</f>
        <v>27.2</v>
      </c>
      <c r="G186" s="43">
        <f>Lab_CIA!I184</f>
        <v>41</v>
      </c>
      <c r="H186" s="44">
        <f t="shared" si="8"/>
        <v>16.4</v>
      </c>
      <c r="I186" s="44">
        <f t="shared" si="9"/>
        <v>43.6</v>
      </c>
      <c r="J186" s="46">
        <f t="shared" si="10"/>
        <v>17.44</v>
      </c>
      <c r="K186" s="47">
        <f t="shared" si="11"/>
        <v>18</v>
      </c>
    </row>
    <row r="187" spans="3:11">
      <c r="C187" s="42">
        <v>175</v>
      </c>
      <c r="D187" s="5" t="s">
        <v>375</v>
      </c>
      <c r="E187" s="13" t="s">
        <v>376</v>
      </c>
      <c r="F187" s="43">
        <f>Lab_CIE!P185</f>
        <v>26.7</v>
      </c>
      <c r="G187" s="43">
        <f>Lab_CIA!I185</f>
        <v>40</v>
      </c>
      <c r="H187" s="44">
        <f t="shared" si="8"/>
        <v>16</v>
      </c>
      <c r="I187" s="44">
        <f t="shared" si="9"/>
        <v>42.7</v>
      </c>
      <c r="J187" s="46">
        <f t="shared" si="10"/>
        <v>17.08</v>
      </c>
      <c r="K187" s="47">
        <f t="shared" si="11"/>
        <v>18</v>
      </c>
    </row>
    <row r="188" spans="3:11">
      <c r="C188" s="42">
        <v>176</v>
      </c>
      <c r="D188" s="5" t="s">
        <v>377</v>
      </c>
      <c r="E188" s="13" t="s">
        <v>378</v>
      </c>
      <c r="F188" s="43">
        <f>Lab_CIE!P186</f>
        <v>27.5</v>
      </c>
      <c r="G188" s="43">
        <f>Lab_CIA!I186</f>
        <v>45</v>
      </c>
      <c r="H188" s="44">
        <f t="shared" si="8"/>
        <v>18</v>
      </c>
      <c r="I188" s="44">
        <f t="shared" si="9"/>
        <v>45.5</v>
      </c>
      <c r="J188" s="46">
        <f t="shared" si="10"/>
        <v>18.2</v>
      </c>
      <c r="K188" s="47">
        <f t="shared" si="11"/>
        <v>19</v>
      </c>
    </row>
    <row r="189" spans="3:11">
      <c r="C189" s="42">
        <v>177</v>
      </c>
      <c r="D189" s="5" t="s">
        <v>379</v>
      </c>
      <c r="E189" s="13" t="s">
        <v>380</v>
      </c>
      <c r="F189" s="43">
        <f>Lab_CIE!P187</f>
        <v>28.9</v>
      </c>
      <c r="G189" s="43">
        <f>Lab_CIA!I187</f>
        <v>47</v>
      </c>
      <c r="H189" s="44">
        <f t="shared" si="8"/>
        <v>18.8</v>
      </c>
      <c r="I189" s="44">
        <f t="shared" si="9"/>
        <v>47.7</v>
      </c>
      <c r="J189" s="46">
        <f t="shared" si="10"/>
        <v>19.08</v>
      </c>
      <c r="K189" s="47">
        <f t="shared" si="11"/>
        <v>20</v>
      </c>
    </row>
    <row r="190" spans="3:11">
      <c r="C190" s="42">
        <v>178</v>
      </c>
      <c r="D190" s="5" t="s">
        <v>381</v>
      </c>
      <c r="E190" s="13" t="s">
        <v>382</v>
      </c>
      <c r="F190" s="43">
        <f>Lab_CIE!P188</f>
        <v>28.6</v>
      </c>
      <c r="G190" s="43">
        <f>Lab_CIA!I188</f>
        <v>44</v>
      </c>
      <c r="H190" s="44">
        <f t="shared" si="8"/>
        <v>17.6</v>
      </c>
      <c r="I190" s="44">
        <f t="shared" si="9"/>
        <v>46.2</v>
      </c>
      <c r="J190" s="46">
        <f t="shared" si="10"/>
        <v>18.48</v>
      </c>
      <c r="K190" s="47">
        <f t="shared" si="11"/>
        <v>19</v>
      </c>
    </row>
    <row r="191" spans="3:11">
      <c r="C191" s="42">
        <v>179</v>
      </c>
      <c r="D191" s="5" t="s">
        <v>383</v>
      </c>
      <c r="E191" s="13" t="s">
        <v>384</v>
      </c>
      <c r="F191" s="43">
        <f>Lab_CIE!P189</f>
        <v>27.3</v>
      </c>
      <c r="G191" s="43">
        <f>Lab_CIA!I189</f>
        <v>43</v>
      </c>
      <c r="H191" s="44">
        <f t="shared" si="8"/>
        <v>17.2</v>
      </c>
      <c r="I191" s="44">
        <f t="shared" si="9"/>
        <v>44.5</v>
      </c>
      <c r="J191" s="46">
        <f t="shared" si="10"/>
        <v>17.8</v>
      </c>
      <c r="K191" s="47">
        <f t="shared" si="11"/>
        <v>18</v>
      </c>
    </row>
    <row r="192" ht="30" spans="3:11">
      <c r="C192" s="42">
        <v>180</v>
      </c>
      <c r="D192" s="5" t="s">
        <v>385</v>
      </c>
      <c r="E192" s="13" t="s">
        <v>386</v>
      </c>
      <c r="F192" s="43">
        <f>Lab_CIE!P190</f>
        <v>28.9</v>
      </c>
      <c r="G192" s="43">
        <f>Lab_CIA!I190</f>
        <v>46</v>
      </c>
      <c r="H192" s="44">
        <f t="shared" si="8"/>
        <v>18.4</v>
      </c>
      <c r="I192" s="44">
        <f t="shared" si="9"/>
        <v>47.3</v>
      </c>
      <c r="J192" s="46">
        <f t="shared" si="10"/>
        <v>18.92</v>
      </c>
      <c r="K192" s="47">
        <f t="shared" si="11"/>
        <v>19</v>
      </c>
    </row>
    <row r="193" spans="3:11">
      <c r="C193" s="42">
        <v>181</v>
      </c>
      <c r="D193" s="5" t="s">
        <v>387</v>
      </c>
      <c r="E193" s="13" t="s">
        <v>388</v>
      </c>
      <c r="F193" s="43">
        <f>Lab_CIE!P191</f>
        <v>28.9</v>
      </c>
      <c r="G193" s="43">
        <f>Lab_CIA!I191</f>
        <v>40</v>
      </c>
      <c r="H193" s="44">
        <f t="shared" si="8"/>
        <v>16</v>
      </c>
      <c r="I193" s="44">
        <f t="shared" si="9"/>
        <v>44.9</v>
      </c>
      <c r="J193" s="46">
        <f t="shared" si="10"/>
        <v>17.96</v>
      </c>
      <c r="K193" s="47">
        <f t="shared" si="11"/>
        <v>18</v>
      </c>
    </row>
    <row r="194" spans="3:11">
      <c r="C194" s="42">
        <v>182</v>
      </c>
      <c r="D194" s="5" t="s">
        <v>389</v>
      </c>
      <c r="E194" s="13" t="s">
        <v>390</v>
      </c>
      <c r="F194" s="43">
        <f>Lab_CIE!P192</f>
        <v>28.3</v>
      </c>
      <c r="G194" s="43">
        <f>Lab_CIA!I192</f>
        <v>43</v>
      </c>
      <c r="H194" s="44">
        <f t="shared" si="8"/>
        <v>17.2</v>
      </c>
      <c r="I194" s="44">
        <f t="shared" si="9"/>
        <v>45.5</v>
      </c>
      <c r="J194" s="46">
        <f t="shared" si="10"/>
        <v>18.2</v>
      </c>
      <c r="K194" s="47">
        <f t="shared" si="11"/>
        <v>19</v>
      </c>
    </row>
    <row r="195" spans="3:11">
      <c r="C195" s="42">
        <v>183</v>
      </c>
      <c r="D195" s="5" t="s">
        <v>391</v>
      </c>
      <c r="E195" s="13" t="s">
        <v>392</v>
      </c>
      <c r="F195" s="43">
        <f>Lab_CIE!P193</f>
        <v>27.7</v>
      </c>
      <c r="G195" s="43">
        <f>Lab_CIA!I193</f>
        <v>43</v>
      </c>
      <c r="H195" s="44">
        <f t="shared" si="8"/>
        <v>17.2</v>
      </c>
      <c r="I195" s="44">
        <f t="shared" si="9"/>
        <v>44.9</v>
      </c>
      <c r="J195" s="46">
        <f t="shared" si="10"/>
        <v>17.96</v>
      </c>
      <c r="K195" s="47">
        <f t="shared" si="11"/>
        <v>18</v>
      </c>
    </row>
    <row r="196" spans="3:11">
      <c r="C196" s="42">
        <v>184</v>
      </c>
      <c r="D196" s="5" t="s">
        <v>393</v>
      </c>
      <c r="E196" s="13" t="s">
        <v>394</v>
      </c>
      <c r="F196" s="43">
        <f>Lab_CIE!P194</f>
        <v>28.4</v>
      </c>
      <c r="G196" s="43">
        <f>Lab_CIA!I194</f>
        <v>41</v>
      </c>
      <c r="H196" s="44">
        <f t="shared" si="8"/>
        <v>16.4</v>
      </c>
      <c r="I196" s="44">
        <f t="shared" si="9"/>
        <v>44.8</v>
      </c>
      <c r="J196" s="46">
        <f t="shared" si="10"/>
        <v>17.92</v>
      </c>
      <c r="K196" s="47">
        <f t="shared" si="11"/>
        <v>18</v>
      </c>
    </row>
    <row r="197" ht="30" spans="3:11">
      <c r="C197" s="42">
        <v>185</v>
      </c>
      <c r="D197" s="5" t="s">
        <v>395</v>
      </c>
      <c r="E197" s="13" t="s">
        <v>396</v>
      </c>
      <c r="F197" s="43">
        <f>Lab_CIE!P195</f>
        <v>28.7</v>
      </c>
      <c r="G197" s="43">
        <f>Lab_CIA!I195</f>
        <v>49</v>
      </c>
      <c r="H197" s="44">
        <f t="shared" si="8"/>
        <v>19.6</v>
      </c>
      <c r="I197" s="44">
        <f t="shared" si="9"/>
        <v>48.3</v>
      </c>
      <c r="J197" s="46">
        <f t="shared" si="10"/>
        <v>19.32</v>
      </c>
      <c r="K197" s="47">
        <f t="shared" si="11"/>
        <v>20</v>
      </c>
    </row>
    <row r="198" spans="3:11">
      <c r="C198" s="42">
        <v>186</v>
      </c>
      <c r="D198" s="5" t="s">
        <v>397</v>
      </c>
      <c r="E198" s="13" t="s">
        <v>398</v>
      </c>
      <c r="F198" s="43">
        <f>Lab_CIE!P196</f>
        <v>27.4</v>
      </c>
      <c r="G198" s="43">
        <f>Lab_CIA!I196</f>
        <v>40</v>
      </c>
      <c r="H198" s="44">
        <f t="shared" si="8"/>
        <v>16</v>
      </c>
      <c r="I198" s="44">
        <f t="shared" si="9"/>
        <v>43.4</v>
      </c>
      <c r="J198" s="46">
        <f t="shared" si="10"/>
        <v>17.36</v>
      </c>
      <c r="K198" s="47">
        <f t="shared" si="11"/>
        <v>18</v>
      </c>
    </row>
    <row r="199" spans="3:11">
      <c r="C199" s="42">
        <v>187</v>
      </c>
      <c r="D199" s="5" t="s">
        <v>399</v>
      </c>
      <c r="E199" s="13" t="s">
        <v>400</v>
      </c>
      <c r="F199" s="43">
        <f>Lab_CIE!P197</f>
        <v>27.4</v>
      </c>
      <c r="G199" s="43">
        <f>Lab_CIA!I197</f>
        <v>45</v>
      </c>
      <c r="H199" s="44">
        <f t="shared" si="8"/>
        <v>18</v>
      </c>
      <c r="I199" s="44">
        <f t="shared" si="9"/>
        <v>45.4</v>
      </c>
      <c r="J199" s="46">
        <f t="shared" si="10"/>
        <v>18.16</v>
      </c>
      <c r="K199" s="47">
        <f t="shared" si="11"/>
        <v>19</v>
      </c>
    </row>
    <row r="200" spans="3:11">
      <c r="C200" s="42">
        <v>188</v>
      </c>
      <c r="D200" s="5" t="s">
        <v>401</v>
      </c>
      <c r="E200" s="13" t="s">
        <v>402</v>
      </c>
      <c r="F200" s="43">
        <f>Lab_CIE!P198</f>
        <v>26.5</v>
      </c>
      <c r="G200" s="43">
        <f>Lab_CIA!I198</f>
        <v>37</v>
      </c>
      <c r="H200" s="44">
        <f t="shared" si="8"/>
        <v>14.8</v>
      </c>
      <c r="I200" s="44">
        <f t="shared" si="9"/>
        <v>41.3</v>
      </c>
      <c r="J200" s="46">
        <f t="shared" si="10"/>
        <v>16.52</v>
      </c>
      <c r="K200" s="47">
        <f t="shared" si="11"/>
        <v>17</v>
      </c>
    </row>
    <row r="201" spans="3:11">
      <c r="C201" s="42">
        <v>189</v>
      </c>
      <c r="D201" s="5" t="s">
        <v>403</v>
      </c>
      <c r="E201" s="13" t="s">
        <v>404</v>
      </c>
      <c r="F201" s="43">
        <f>Lab_CIE!P199</f>
        <v>27.8</v>
      </c>
      <c r="G201" s="43">
        <f>Lab_CIA!I199</f>
        <v>43</v>
      </c>
      <c r="H201" s="44">
        <f t="shared" si="8"/>
        <v>17.2</v>
      </c>
      <c r="I201" s="44">
        <f t="shared" si="9"/>
        <v>45</v>
      </c>
      <c r="J201" s="46">
        <f t="shared" si="10"/>
        <v>18</v>
      </c>
      <c r="K201" s="47">
        <f t="shared" si="11"/>
        <v>18</v>
      </c>
    </row>
    <row r="202" spans="3:11">
      <c r="C202" s="42">
        <v>190</v>
      </c>
      <c r="D202" s="4" t="s">
        <v>405</v>
      </c>
      <c r="E202" s="14" t="s">
        <v>406</v>
      </c>
      <c r="F202" s="43">
        <f>Lab_CIE!P200</f>
        <v>29.2</v>
      </c>
      <c r="G202" s="43">
        <f>Lab_CIA!I200</f>
        <v>46</v>
      </c>
      <c r="H202" s="44">
        <f t="shared" si="8"/>
        <v>18.4</v>
      </c>
      <c r="I202" s="44">
        <f t="shared" si="9"/>
        <v>47.6</v>
      </c>
      <c r="J202" s="46">
        <f t="shared" si="10"/>
        <v>19.04</v>
      </c>
      <c r="K202" s="47">
        <f t="shared" si="11"/>
        <v>20</v>
      </c>
    </row>
    <row r="203" spans="3:11">
      <c r="C203" s="42">
        <v>191</v>
      </c>
      <c r="D203" s="4" t="s">
        <v>407</v>
      </c>
      <c r="E203" s="14" t="s">
        <v>408</v>
      </c>
      <c r="F203" s="43">
        <f>Lab_CIE!P201</f>
        <v>29.2</v>
      </c>
      <c r="G203" s="43">
        <f>Lab_CIA!I201</f>
        <v>46</v>
      </c>
      <c r="H203" s="44">
        <f t="shared" si="8"/>
        <v>18.4</v>
      </c>
      <c r="I203" s="44">
        <f t="shared" si="9"/>
        <v>47.6</v>
      </c>
      <c r="J203" s="46">
        <f t="shared" si="10"/>
        <v>19.04</v>
      </c>
      <c r="K203" s="47">
        <f t="shared" si="11"/>
        <v>20</v>
      </c>
    </row>
    <row r="204" spans="3:11">
      <c r="C204" s="42">
        <v>192</v>
      </c>
      <c r="D204" s="4" t="s">
        <v>409</v>
      </c>
      <c r="E204" s="14" t="s">
        <v>410</v>
      </c>
      <c r="F204" s="43">
        <f>Lab_CIE!P202</f>
        <v>27.2</v>
      </c>
      <c r="G204" s="43">
        <f>Lab_CIA!I202</f>
        <v>43</v>
      </c>
      <c r="H204" s="44">
        <f t="shared" si="8"/>
        <v>17.2</v>
      </c>
      <c r="I204" s="44">
        <f t="shared" si="9"/>
        <v>44.4</v>
      </c>
      <c r="J204" s="46">
        <f t="shared" si="10"/>
        <v>17.76</v>
      </c>
      <c r="K204" s="47">
        <f t="shared" si="11"/>
        <v>18</v>
      </c>
    </row>
    <row r="205" spans="3:11">
      <c r="C205" s="42">
        <v>193</v>
      </c>
      <c r="D205" s="4" t="s">
        <v>411</v>
      </c>
      <c r="E205" s="14" t="s">
        <v>412</v>
      </c>
      <c r="F205" s="43">
        <f>Lab_CIE!P203</f>
        <v>29</v>
      </c>
      <c r="G205" s="43">
        <f>Lab_CIA!I203</f>
        <v>44</v>
      </c>
      <c r="H205" s="44">
        <f t="shared" si="8"/>
        <v>17.6</v>
      </c>
      <c r="I205" s="44">
        <f t="shared" si="9"/>
        <v>46.6</v>
      </c>
      <c r="J205" s="46">
        <f t="shared" si="10"/>
        <v>18.64</v>
      </c>
      <c r="K205" s="47">
        <f t="shared" si="11"/>
        <v>19</v>
      </c>
    </row>
    <row r="206" spans="3:11">
      <c r="C206" s="42">
        <v>194</v>
      </c>
      <c r="D206" s="4" t="s">
        <v>413</v>
      </c>
      <c r="E206" s="14" t="s">
        <v>414</v>
      </c>
      <c r="F206" s="43">
        <f>Lab_CIE!P204</f>
        <v>27.1</v>
      </c>
      <c r="G206" s="43">
        <f>Lab_CIA!I204</f>
        <v>40</v>
      </c>
      <c r="H206" s="44">
        <f t="shared" ref="H206:H219" si="12">((G206*20)/50)</f>
        <v>16</v>
      </c>
      <c r="I206" s="44">
        <f t="shared" ref="I206:I219" si="13">SUM(F206,H206)</f>
        <v>43.1</v>
      </c>
      <c r="J206" s="46">
        <f t="shared" ref="J206:J219" si="14">((I206*20)/50)</f>
        <v>17.24</v>
      </c>
      <c r="K206" s="47">
        <f t="shared" ref="K206:K219" si="15">ROUNDUP(J206,0)</f>
        <v>18</v>
      </c>
    </row>
    <row r="207" spans="3:11">
      <c r="C207" s="42">
        <v>195</v>
      </c>
      <c r="D207" s="4" t="s">
        <v>415</v>
      </c>
      <c r="E207" s="14" t="s">
        <v>416</v>
      </c>
      <c r="F207" s="43">
        <f>Lab_CIE!P205</f>
        <v>28.9</v>
      </c>
      <c r="G207" s="43">
        <f>Lab_CIA!I205</f>
        <v>44</v>
      </c>
      <c r="H207" s="44">
        <f t="shared" si="12"/>
        <v>17.6</v>
      </c>
      <c r="I207" s="44">
        <f t="shared" si="13"/>
        <v>46.5</v>
      </c>
      <c r="J207" s="46">
        <f t="shared" si="14"/>
        <v>18.6</v>
      </c>
      <c r="K207" s="47">
        <f t="shared" si="15"/>
        <v>19</v>
      </c>
    </row>
    <row r="208" spans="3:11">
      <c r="C208" s="42">
        <v>196</v>
      </c>
      <c r="D208" s="4" t="s">
        <v>417</v>
      </c>
      <c r="E208" s="14" t="s">
        <v>418</v>
      </c>
      <c r="F208" s="43">
        <f>Lab_CIE!P206</f>
        <v>29.6</v>
      </c>
      <c r="G208" s="43">
        <f>Lab_CIA!I206</f>
        <v>41</v>
      </c>
      <c r="H208" s="44">
        <f t="shared" si="12"/>
        <v>16.4</v>
      </c>
      <c r="I208" s="44">
        <f t="shared" si="13"/>
        <v>46</v>
      </c>
      <c r="J208" s="46">
        <f t="shared" si="14"/>
        <v>18.4</v>
      </c>
      <c r="K208" s="47">
        <f t="shared" si="15"/>
        <v>19</v>
      </c>
    </row>
    <row r="209" spans="3:11">
      <c r="C209" s="42">
        <v>197</v>
      </c>
      <c r="D209" s="4" t="s">
        <v>419</v>
      </c>
      <c r="E209" s="14" t="s">
        <v>420</v>
      </c>
      <c r="F209" s="43">
        <f>Lab_CIE!P207</f>
        <v>29.3</v>
      </c>
      <c r="G209" s="43">
        <f>Lab_CIA!I207</f>
        <v>48</v>
      </c>
      <c r="H209" s="44">
        <f t="shared" si="12"/>
        <v>19.2</v>
      </c>
      <c r="I209" s="44">
        <f t="shared" si="13"/>
        <v>48.5</v>
      </c>
      <c r="J209" s="46">
        <f t="shared" si="14"/>
        <v>19.4</v>
      </c>
      <c r="K209" s="47">
        <f t="shared" si="15"/>
        <v>20</v>
      </c>
    </row>
    <row r="210" spans="3:11">
      <c r="C210" s="42">
        <v>198</v>
      </c>
      <c r="D210" s="4" t="s">
        <v>421</v>
      </c>
      <c r="E210" s="14" t="s">
        <v>422</v>
      </c>
      <c r="F210" s="43">
        <f>Lab_CIE!P208</f>
        <v>26.6</v>
      </c>
      <c r="G210" s="43">
        <f>Lab_CIA!I208</f>
        <v>43</v>
      </c>
      <c r="H210" s="44">
        <f t="shared" si="12"/>
        <v>17.2</v>
      </c>
      <c r="I210" s="44">
        <f t="shared" si="13"/>
        <v>43.8</v>
      </c>
      <c r="J210" s="46">
        <f t="shared" si="14"/>
        <v>17.52</v>
      </c>
      <c r="K210" s="47">
        <f t="shared" si="15"/>
        <v>18</v>
      </c>
    </row>
    <row r="211" spans="3:11">
      <c r="C211" s="42">
        <v>199</v>
      </c>
      <c r="D211" s="4" t="s">
        <v>423</v>
      </c>
      <c r="E211" s="14" t="s">
        <v>424</v>
      </c>
      <c r="F211" s="43">
        <f>Lab_CIE!P209</f>
        <v>26.1</v>
      </c>
      <c r="G211" s="43">
        <f>Lab_CIA!I209</f>
        <v>44</v>
      </c>
      <c r="H211" s="44">
        <f t="shared" si="12"/>
        <v>17.6</v>
      </c>
      <c r="I211" s="44">
        <f t="shared" si="13"/>
        <v>43.7</v>
      </c>
      <c r="J211" s="46">
        <f t="shared" si="14"/>
        <v>17.48</v>
      </c>
      <c r="K211" s="47">
        <f t="shared" si="15"/>
        <v>18</v>
      </c>
    </row>
    <row r="212" spans="3:11">
      <c r="C212" s="42">
        <v>200</v>
      </c>
      <c r="D212" s="4" t="s">
        <v>425</v>
      </c>
      <c r="E212" s="14" t="s">
        <v>426</v>
      </c>
      <c r="F212" s="43">
        <f>Lab_CIE!P210</f>
        <v>28.2</v>
      </c>
      <c r="G212" s="43">
        <f>Lab_CIA!I210</f>
        <v>46</v>
      </c>
      <c r="H212" s="44">
        <f t="shared" si="12"/>
        <v>18.4</v>
      </c>
      <c r="I212" s="44">
        <f t="shared" si="13"/>
        <v>46.6</v>
      </c>
      <c r="J212" s="46">
        <f t="shared" si="14"/>
        <v>18.64</v>
      </c>
      <c r="K212" s="47">
        <f t="shared" si="15"/>
        <v>19</v>
      </c>
    </row>
    <row r="213" spans="3:11">
      <c r="C213" s="42">
        <v>201</v>
      </c>
      <c r="D213" s="4" t="s">
        <v>427</v>
      </c>
      <c r="E213" s="14" t="s">
        <v>428</v>
      </c>
      <c r="F213" s="43">
        <f>Lab_CIE!P211</f>
        <v>29.4</v>
      </c>
      <c r="G213" s="43">
        <f>Lab_CIA!I211</f>
        <v>45</v>
      </c>
      <c r="H213" s="44">
        <f t="shared" si="12"/>
        <v>18</v>
      </c>
      <c r="I213" s="44">
        <f t="shared" si="13"/>
        <v>47.4</v>
      </c>
      <c r="J213" s="46">
        <f t="shared" si="14"/>
        <v>18.96</v>
      </c>
      <c r="K213" s="47">
        <f t="shared" si="15"/>
        <v>19</v>
      </c>
    </row>
    <row r="214" spans="3:11">
      <c r="C214" s="42">
        <v>202</v>
      </c>
      <c r="D214" s="4" t="s">
        <v>429</v>
      </c>
      <c r="E214" s="14" t="s">
        <v>430</v>
      </c>
      <c r="F214" s="43">
        <f>Lab_CIE!P212</f>
        <v>29.4</v>
      </c>
      <c r="G214" s="43">
        <f>Lab_CIA!I212</f>
        <v>41</v>
      </c>
      <c r="H214" s="44">
        <f t="shared" si="12"/>
        <v>16.4</v>
      </c>
      <c r="I214" s="44">
        <f t="shared" si="13"/>
        <v>45.8</v>
      </c>
      <c r="J214" s="46">
        <f t="shared" si="14"/>
        <v>18.32</v>
      </c>
      <c r="K214" s="47">
        <f t="shared" si="15"/>
        <v>19</v>
      </c>
    </row>
    <row r="215" spans="3:11">
      <c r="C215" s="42">
        <v>203</v>
      </c>
      <c r="D215" s="4" t="s">
        <v>431</v>
      </c>
      <c r="E215" s="14" t="s">
        <v>432</v>
      </c>
      <c r="F215" s="43">
        <f>Lab_CIE!P213</f>
        <v>30</v>
      </c>
      <c r="G215" s="43">
        <f>Lab_CIA!I213</f>
        <v>43</v>
      </c>
      <c r="H215" s="44">
        <f t="shared" si="12"/>
        <v>17.2</v>
      </c>
      <c r="I215" s="44">
        <f t="shared" si="13"/>
        <v>47.2</v>
      </c>
      <c r="J215" s="46">
        <f t="shared" si="14"/>
        <v>18.88</v>
      </c>
      <c r="K215" s="47">
        <f t="shared" si="15"/>
        <v>19</v>
      </c>
    </row>
    <row r="216" spans="3:11">
      <c r="C216" s="42">
        <v>204</v>
      </c>
      <c r="D216" s="4" t="s">
        <v>433</v>
      </c>
      <c r="E216" s="14" t="s">
        <v>434</v>
      </c>
      <c r="F216" s="43">
        <f>Lab_CIE!P214</f>
        <v>29.2</v>
      </c>
      <c r="G216" s="43">
        <f>Lab_CIA!I214</f>
        <v>42</v>
      </c>
      <c r="H216" s="44">
        <f t="shared" si="12"/>
        <v>16.8</v>
      </c>
      <c r="I216" s="44">
        <f t="shared" si="13"/>
        <v>46</v>
      </c>
      <c r="J216" s="46">
        <f t="shared" si="14"/>
        <v>18.4</v>
      </c>
      <c r="K216" s="47">
        <f t="shared" si="15"/>
        <v>19</v>
      </c>
    </row>
    <row r="217" spans="3:11">
      <c r="C217" s="42">
        <v>205</v>
      </c>
      <c r="D217" s="4" t="s">
        <v>435</v>
      </c>
      <c r="E217" s="14" t="s">
        <v>436</v>
      </c>
      <c r="F217" s="43">
        <f>Lab_CIE!P215</f>
        <v>27.9</v>
      </c>
      <c r="G217" s="43">
        <f>Lab_CIA!I215</f>
        <v>43</v>
      </c>
      <c r="H217" s="44">
        <f t="shared" si="12"/>
        <v>17.2</v>
      </c>
      <c r="I217" s="44">
        <f t="shared" si="13"/>
        <v>45.1</v>
      </c>
      <c r="J217" s="46">
        <f t="shared" si="14"/>
        <v>18.04</v>
      </c>
      <c r="K217" s="47">
        <f t="shared" si="15"/>
        <v>19</v>
      </c>
    </row>
    <row r="218" spans="3:11">
      <c r="C218" s="42">
        <v>206</v>
      </c>
      <c r="D218" s="4" t="s">
        <v>437</v>
      </c>
      <c r="E218" s="14" t="s">
        <v>438</v>
      </c>
      <c r="F218" s="43">
        <f>Lab_CIE!P216</f>
        <v>27.7</v>
      </c>
      <c r="G218" s="43">
        <f>Lab_CIA!I216</f>
        <v>42</v>
      </c>
      <c r="H218" s="44">
        <f t="shared" si="12"/>
        <v>16.8</v>
      </c>
      <c r="I218" s="44">
        <f t="shared" si="13"/>
        <v>44.5</v>
      </c>
      <c r="J218" s="46">
        <f t="shared" si="14"/>
        <v>17.8</v>
      </c>
      <c r="K218" s="47">
        <f t="shared" si="15"/>
        <v>18</v>
      </c>
    </row>
    <row r="219" spans="3:11">
      <c r="C219" s="42">
        <v>207</v>
      </c>
      <c r="D219" s="4" t="s">
        <v>439</v>
      </c>
      <c r="E219" s="14" t="s">
        <v>440</v>
      </c>
      <c r="F219" s="43">
        <f>Lab_CIE!P217</f>
        <v>28.6</v>
      </c>
      <c r="G219" s="43">
        <f>Lab_CIA!I217</f>
        <v>37</v>
      </c>
      <c r="H219" s="44">
        <f t="shared" si="12"/>
        <v>14.8</v>
      </c>
      <c r="I219" s="44">
        <f t="shared" si="13"/>
        <v>43.4</v>
      </c>
      <c r="J219" s="46">
        <f t="shared" si="14"/>
        <v>17.36</v>
      </c>
      <c r="K219" s="47">
        <f t="shared" si="15"/>
        <v>18</v>
      </c>
    </row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</sheetData>
  <mergeCells count="3">
    <mergeCell ref="C7:H7"/>
    <mergeCell ref="G10:H10"/>
    <mergeCell ref="G11:H11"/>
  </mergeCells>
  <pageMargins left="0.7" right="0.7" top="0.75" bottom="0.75" header="0.3" footer="0.3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043"/>
  <sheetViews>
    <sheetView workbookViewId="0">
      <pane ySplit="10" topLeftCell="A131" activePane="bottomLeft" state="frozen"/>
      <selection/>
      <selection pane="bottomLeft" activeCell="P138" sqref="P138"/>
    </sheetView>
  </sheetViews>
  <sheetFormatPr defaultColWidth="14.4285714285714" defaultRowHeight="15" customHeight="1"/>
  <cols>
    <col min="1" max="2" width="8.71428571428571" customWidth="1"/>
    <col min="3" max="3" width="6.28571428571429" customWidth="1"/>
    <col min="4" max="4" width="16" customWidth="1"/>
    <col min="5" max="5" width="29" customWidth="1"/>
    <col min="6" max="18" width="8.71428571428571" customWidth="1"/>
    <col min="19" max="20" width="9.57142857142857" customWidth="1"/>
    <col min="21" max="26" width="8.71428571428571" customWidth="1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 spans="3:16">
      <c r="C6" s="17" t="s">
        <v>450</v>
      </c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</row>
    <row r="7" ht="14.25" customHeight="1" spans="3:16">
      <c r="C7" s="17" t="s">
        <v>451</v>
      </c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</row>
    <row r="8" ht="14.25" customHeight="1" spans="1:26">
      <c r="A8" s="19"/>
      <c r="B8" s="19"/>
      <c r="C8" s="19"/>
      <c r="D8" s="20" t="s">
        <v>452</v>
      </c>
      <c r="F8" s="19"/>
      <c r="G8" s="19"/>
      <c r="H8" s="18" t="s">
        <v>453</v>
      </c>
      <c r="I8" s="21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</row>
    <row r="9" ht="14.25" customHeight="1" spans="1:26">
      <c r="A9" s="19"/>
      <c r="B9" s="19"/>
      <c r="C9" s="19"/>
      <c r="D9" s="22"/>
      <c r="E9" s="23"/>
      <c r="F9" s="19"/>
      <c r="G9" s="19"/>
      <c r="H9" s="19"/>
      <c r="I9" s="21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</row>
    <row r="10" ht="14.25" customHeight="1" spans="1:26">
      <c r="A10" s="24"/>
      <c r="B10" s="24"/>
      <c r="C10" s="12" t="s">
        <v>443</v>
      </c>
      <c r="D10" s="12" t="s">
        <v>6</v>
      </c>
      <c r="E10" s="12" t="s">
        <v>7</v>
      </c>
      <c r="F10" s="12" t="s">
        <v>454</v>
      </c>
      <c r="G10" s="12" t="s">
        <v>455</v>
      </c>
      <c r="H10" s="12" t="s">
        <v>456</v>
      </c>
      <c r="I10" s="12" t="s">
        <v>457</v>
      </c>
      <c r="J10" s="12" t="s">
        <v>458</v>
      </c>
      <c r="K10" s="12" t="s">
        <v>459</v>
      </c>
      <c r="L10" s="12" t="s">
        <v>460</v>
      </c>
      <c r="M10" s="12" t="s">
        <v>461</v>
      </c>
      <c r="N10" s="12" t="s">
        <v>462</v>
      </c>
      <c r="O10" s="12" t="s">
        <v>463</v>
      </c>
      <c r="P10" s="12" t="s">
        <v>464</v>
      </c>
      <c r="Q10" s="24"/>
      <c r="R10" s="24"/>
      <c r="S10" s="24"/>
      <c r="T10" s="24"/>
      <c r="U10" s="24"/>
      <c r="V10" s="24"/>
      <c r="W10" s="24"/>
      <c r="X10" s="24"/>
      <c r="Y10" s="24"/>
      <c r="Z10" s="24"/>
    </row>
    <row r="11" ht="14.25" customHeight="1" spans="1:26">
      <c r="A11" s="24"/>
      <c r="B11" s="24"/>
      <c r="C11" s="12">
        <v>1</v>
      </c>
      <c r="D11" s="5" t="s">
        <v>26</v>
      </c>
      <c r="E11" s="13" t="s">
        <v>27</v>
      </c>
      <c r="F11" s="12">
        <v>28</v>
      </c>
      <c r="G11" s="12">
        <v>29</v>
      </c>
      <c r="H11" s="12">
        <v>29</v>
      </c>
      <c r="I11" s="12">
        <v>29</v>
      </c>
      <c r="J11" s="12">
        <v>30</v>
      </c>
      <c r="K11" s="12">
        <v>29</v>
      </c>
      <c r="L11" s="12">
        <v>29</v>
      </c>
      <c r="M11" s="12">
        <v>30</v>
      </c>
      <c r="N11" s="12">
        <v>29</v>
      </c>
      <c r="O11" s="12">
        <v>29</v>
      </c>
      <c r="P11" s="26">
        <f t="shared" ref="P11:P74" si="0">AVERAGE(F11:O11)</f>
        <v>29.1</v>
      </c>
      <c r="Q11" s="24"/>
      <c r="R11" s="24"/>
      <c r="S11" s="24"/>
      <c r="T11" s="24"/>
      <c r="U11" s="24"/>
      <c r="V11" s="24"/>
      <c r="W11" s="24"/>
      <c r="X11" s="24"/>
      <c r="Y11" s="24"/>
      <c r="Z11" s="24"/>
    </row>
    <row r="12" ht="14.25" customHeight="1" spans="1:26">
      <c r="A12" s="24"/>
      <c r="B12" s="24"/>
      <c r="C12" s="12">
        <v>2</v>
      </c>
      <c r="D12" s="5" t="s">
        <v>28</v>
      </c>
      <c r="E12" s="13" t="s">
        <v>29</v>
      </c>
      <c r="F12" s="12">
        <v>30</v>
      </c>
      <c r="G12" s="12">
        <v>28</v>
      </c>
      <c r="H12" s="12">
        <v>28</v>
      </c>
      <c r="I12" s="12">
        <v>29</v>
      </c>
      <c r="J12" s="12">
        <v>30</v>
      </c>
      <c r="K12" s="12">
        <v>29</v>
      </c>
      <c r="L12" s="12">
        <v>29</v>
      </c>
      <c r="M12" s="12">
        <v>30</v>
      </c>
      <c r="N12" s="12">
        <v>29</v>
      </c>
      <c r="O12" s="12">
        <v>29</v>
      </c>
      <c r="P12" s="26">
        <f t="shared" si="0"/>
        <v>29.1</v>
      </c>
      <c r="Q12" s="24"/>
      <c r="R12" s="24"/>
      <c r="S12" s="24"/>
      <c r="T12" s="24"/>
      <c r="U12" s="24"/>
      <c r="V12" s="24"/>
      <c r="W12" s="24"/>
      <c r="X12" s="24"/>
      <c r="Y12" s="24"/>
      <c r="Z12" s="24"/>
    </row>
    <row r="13" ht="14.25" customHeight="1" spans="1:26">
      <c r="A13" s="24"/>
      <c r="B13" s="24"/>
      <c r="C13" s="12">
        <v>3</v>
      </c>
      <c r="D13" s="5" t="s">
        <v>30</v>
      </c>
      <c r="E13" s="13" t="s">
        <v>31</v>
      </c>
      <c r="F13" s="12">
        <v>30</v>
      </c>
      <c r="G13" s="12">
        <v>28</v>
      </c>
      <c r="H13" s="12">
        <v>29</v>
      </c>
      <c r="I13" s="12">
        <v>29</v>
      </c>
      <c r="J13" s="12">
        <v>30</v>
      </c>
      <c r="K13" s="12">
        <v>28</v>
      </c>
      <c r="L13" s="12">
        <v>29</v>
      </c>
      <c r="M13" s="12">
        <v>30</v>
      </c>
      <c r="N13" s="12">
        <v>29</v>
      </c>
      <c r="O13" s="12">
        <v>29</v>
      </c>
      <c r="P13" s="26">
        <f t="shared" si="0"/>
        <v>29.1</v>
      </c>
      <c r="Q13" s="24"/>
      <c r="R13" s="24"/>
      <c r="S13" s="24"/>
      <c r="T13" s="24"/>
      <c r="U13" s="24"/>
      <c r="V13" s="24"/>
      <c r="W13" s="24"/>
      <c r="X13" s="24"/>
      <c r="Y13" s="24"/>
      <c r="Z13" s="24"/>
    </row>
    <row r="14" ht="14.25" customHeight="1" spans="1:26">
      <c r="A14" s="24"/>
      <c r="B14" s="24"/>
      <c r="C14" s="12">
        <v>4</v>
      </c>
      <c r="D14" s="5" t="s">
        <v>32</v>
      </c>
      <c r="E14" s="13" t="s">
        <v>33</v>
      </c>
      <c r="F14" s="12">
        <v>29</v>
      </c>
      <c r="G14" s="12">
        <v>28</v>
      </c>
      <c r="H14" s="12">
        <v>29</v>
      </c>
      <c r="I14" s="12">
        <v>28</v>
      </c>
      <c r="J14" s="12">
        <v>30</v>
      </c>
      <c r="K14" s="12">
        <v>28</v>
      </c>
      <c r="L14" s="12">
        <v>29</v>
      </c>
      <c r="M14" s="12">
        <v>30</v>
      </c>
      <c r="N14" s="12">
        <v>29</v>
      </c>
      <c r="O14" s="12">
        <v>29</v>
      </c>
      <c r="P14" s="26">
        <f t="shared" si="0"/>
        <v>28.9</v>
      </c>
      <c r="Q14" s="24"/>
      <c r="R14" s="24"/>
      <c r="S14" s="24"/>
      <c r="T14" s="24"/>
      <c r="U14" s="24"/>
      <c r="V14" s="24"/>
      <c r="W14" s="24"/>
      <c r="X14" s="24"/>
      <c r="Y14" s="24"/>
      <c r="Z14" s="24"/>
    </row>
    <row r="15" ht="14.25" customHeight="1" spans="1:26">
      <c r="A15" s="24"/>
      <c r="B15" s="24"/>
      <c r="C15" s="12">
        <v>5</v>
      </c>
      <c r="D15" s="5" t="s">
        <v>34</v>
      </c>
      <c r="E15" s="13" t="s">
        <v>35</v>
      </c>
      <c r="F15" s="12">
        <v>29</v>
      </c>
      <c r="G15" s="12">
        <v>29</v>
      </c>
      <c r="H15" s="12">
        <v>29</v>
      </c>
      <c r="I15" s="12">
        <v>28</v>
      </c>
      <c r="J15" s="12">
        <v>30</v>
      </c>
      <c r="K15" s="12">
        <v>29</v>
      </c>
      <c r="L15" s="12">
        <v>29</v>
      </c>
      <c r="M15" s="12">
        <v>29</v>
      </c>
      <c r="N15" s="12">
        <v>29</v>
      </c>
      <c r="O15" s="12">
        <v>29</v>
      </c>
      <c r="P15" s="26">
        <f t="shared" si="0"/>
        <v>29</v>
      </c>
      <c r="Q15" s="24"/>
      <c r="R15" s="24"/>
      <c r="S15" s="24"/>
      <c r="T15" s="24"/>
      <c r="U15" s="24"/>
      <c r="V15" s="24"/>
      <c r="W15" s="24"/>
      <c r="X15" s="24"/>
      <c r="Y15" s="24"/>
      <c r="Z15" s="24"/>
    </row>
    <row r="16" ht="14.25" customHeight="1" spans="1:26">
      <c r="A16" s="24"/>
      <c r="B16" s="24"/>
      <c r="C16" s="12">
        <v>6</v>
      </c>
      <c r="D16" s="5" t="s">
        <v>36</v>
      </c>
      <c r="E16" s="13" t="s">
        <v>37</v>
      </c>
      <c r="F16" s="12">
        <v>27</v>
      </c>
      <c r="G16" s="12">
        <v>27</v>
      </c>
      <c r="H16" s="12">
        <v>27</v>
      </c>
      <c r="I16" s="12">
        <v>28</v>
      </c>
      <c r="J16" s="12">
        <v>30</v>
      </c>
      <c r="K16" s="12">
        <v>29</v>
      </c>
      <c r="L16" s="12">
        <v>28</v>
      </c>
      <c r="M16" s="12">
        <v>29</v>
      </c>
      <c r="N16" s="12">
        <v>28</v>
      </c>
      <c r="O16" s="12">
        <v>29</v>
      </c>
      <c r="P16" s="26">
        <f t="shared" si="0"/>
        <v>28.2</v>
      </c>
      <c r="Q16" s="24"/>
      <c r="R16" s="24"/>
      <c r="S16" s="24"/>
      <c r="T16" s="24"/>
      <c r="U16" s="24"/>
      <c r="V16" s="24"/>
      <c r="W16" s="24"/>
      <c r="X16" s="24"/>
      <c r="Y16" s="24"/>
      <c r="Z16" s="24"/>
    </row>
    <row r="17" ht="14.25" customHeight="1" spans="1:26">
      <c r="A17" s="24"/>
      <c r="B17" s="24"/>
      <c r="C17" s="12">
        <v>7</v>
      </c>
      <c r="D17" s="5" t="s">
        <v>38</v>
      </c>
      <c r="E17" s="13" t="s">
        <v>39</v>
      </c>
      <c r="F17" s="12">
        <v>29</v>
      </c>
      <c r="G17" s="12">
        <v>29</v>
      </c>
      <c r="H17" s="12">
        <v>29</v>
      </c>
      <c r="I17" s="12">
        <v>29</v>
      </c>
      <c r="J17" s="12">
        <v>30</v>
      </c>
      <c r="K17" s="12">
        <v>29</v>
      </c>
      <c r="L17" s="12">
        <v>28</v>
      </c>
      <c r="M17" s="12">
        <v>29</v>
      </c>
      <c r="N17" s="12">
        <v>28</v>
      </c>
      <c r="O17" s="12">
        <v>29</v>
      </c>
      <c r="P17" s="26">
        <f t="shared" si="0"/>
        <v>28.9</v>
      </c>
      <c r="Q17" s="24"/>
      <c r="R17" s="24"/>
      <c r="S17" s="24"/>
      <c r="T17" s="24"/>
      <c r="U17" s="24"/>
      <c r="V17" s="24"/>
      <c r="W17" s="24"/>
      <c r="X17" s="24"/>
      <c r="Y17" s="24"/>
      <c r="Z17" s="24"/>
    </row>
    <row r="18" ht="14.25" customHeight="1" spans="1:26">
      <c r="A18" s="24"/>
      <c r="B18" s="24"/>
      <c r="C18" s="12">
        <v>8</v>
      </c>
      <c r="D18" s="5" t="s">
        <v>40</v>
      </c>
      <c r="E18" s="13" t="s">
        <v>41</v>
      </c>
      <c r="F18" s="12">
        <v>29</v>
      </c>
      <c r="G18" s="12">
        <v>28</v>
      </c>
      <c r="H18" s="12">
        <v>29</v>
      </c>
      <c r="I18" s="12">
        <v>29</v>
      </c>
      <c r="J18" s="12">
        <v>30</v>
      </c>
      <c r="K18" s="12">
        <v>29</v>
      </c>
      <c r="L18" s="12">
        <v>28</v>
      </c>
      <c r="M18" s="12">
        <v>29</v>
      </c>
      <c r="N18" s="12">
        <v>29</v>
      </c>
      <c r="O18" s="12">
        <v>29</v>
      </c>
      <c r="P18" s="26">
        <f t="shared" si="0"/>
        <v>28.9</v>
      </c>
      <c r="Q18" s="24"/>
      <c r="R18" s="24"/>
      <c r="S18" s="24"/>
      <c r="T18" s="24"/>
      <c r="U18" s="24"/>
      <c r="V18" s="24"/>
      <c r="W18" s="24"/>
      <c r="X18" s="24"/>
      <c r="Y18" s="24"/>
      <c r="Z18" s="24"/>
    </row>
    <row r="19" ht="14.25" customHeight="1" spans="1:26">
      <c r="A19" s="24"/>
      <c r="B19" s="24"/>
      <c r="C19" s="12">
        <v>9</v>
      </c>
      <c r="D19" s="5" t="s">
        <v>42</v>
      </c>
      <c r="E19" s="13" t="s">
        <v>43</v>
      </c>
      <c r="F19" s="12">
        <v>28</v>
      </c>
      <c r="G19" s="12">
        <v>28</v>
      </c>
      <c r="H19" s="12">
        <v>29</v>
      </c>
      <c r="I19" s="12">
        <v>29</v>
      </c>
      <c r="J19" s="12">
        <v>30</v>
      </c>
      <c r="K19" s="12">
        <v>29</v>
      </c>
      <c r="L19" s="12">
        <v>29</v>
      </c>
      <c r="M19" s="12">
        <v>29</v>
      </c>
      <c r="N19" s="12">
        <v>29</v>
      </c>
      <c r="O19" s="12">
        <v>29</v>
      </c>
      <c r="P19" s="26">
        <f t="shared" si="0"/>
        <v>28.9</v>
      </c>
      <c r="Q19" s="24"/>
      <c r="R19" s="24"/>
      <c r="S19" s="24"/>
      <c r="T19" s="24"/>
      <c r="U19" s="24"/>
      <c r="V19" s="24"/>
      <c r="W19" s="24"/>
      <c r="X19" s="24"/>
      <c r="Y19" s="24"/>
      <c r="Z19" s="24"/>
    </row>
    <row r="20" ht="14.25" customHeight="1" spans="1:26">
      <c r="A20" s="24"/>
      <c r="B20" s="24"/>
      <c r="C20" s="12">
        <v>10</v>
      </c>
      <c r="D20" s="5" t="s">
        <v>44</v>
      </c>
      <c r="E20" s="13" t="s">
        <v>45</v>
      </c>
      <c r="F20" s="12">
        <v>29</v>
      </c>
      <c r="G20" s="12">
        <v>28</v>
      </c>
      <c r="H20" s="12">
        <v>29</v>
      </c>
      <c r="I20" s="12">
        <v>29</v>
      </c>
      <c r="J20" s="12">
        <v>30</v>
      </c>
      <c r="K20" s="12">
        <v>29</v>
      </c>
      <c r="L20" s="12">
        <v>29</v>
      </c>
      <c r="M20" s="12">
        <v>29</v>
      </c>
      <c r="N20" s="12">
        <v>28</v>
      </c>
      <c r="O20" s="12">
        <v>28</v>
      </c>
      <c r="P20" s="26">
        <f t="shared" si="0"/>
        <v>28.8</v>
      </c>
      <c r="Q20" s="24"/>
      <c r="R20" s="24"/>
      <c r="S20" s="24"/>
      <c r="T20" s="24"/>
      <c r="U20" s="24"/>
      <c r="V20" s="24"/>
      <c r="W20" s="24"/>
      <c r="X20" s="24"/>
      <c r="Y20" s="24"/>
      <c r="Z20" s="24"/>
    </row>
    <row r="21" ht="14.25" customHeight="1" spans="1:26">
      <c r="A21" s="24"/>
      <c r="B21" s="24"/>
      <c r="C21" s="12">
        <v>11</v>
      </c>
      <c r="D21" s="5" t="s">
        <v>46</v>
      </c>
      <c r="E21" s="13" t="s">
        <v>47</v>
      </c>
      <c r="F21" s="12">
        <v>28</v>
      </c>
      <c r="G21" s="12">
        <v>28</v>
      </c>
      <c r="H21" s="12">
        <v>29</v>
      </c>
      <c r="I21" s="12">
        <v>29</v>
      </c>
      <c r="J21" s="12">
        <v>30</v>
      </c>
      <c r="K21" s="12">
        <v>28</v>
      </c>
      <c r="L21" s="12">
        <v>29</v>
      </c>
      <c r="M21" s="12">
        <v>30</v>
      </c>
      <c r="N21" s="12">
        <v>28</v>
      </c>
      <c r="O21" s="12">
        <v>28</v>
      </c>
      <c r="P21" s="26">
        <f t="shared" si="0"/>
        <v>28.7</v>
      </c>
      <c r="Q21" s="24"/>
      <c r="R21" s="24"/>
      <c r="S21" s="24"/>
      <c r="T21" s="24"/>
      <c r="U21" s="24"/>
      <c r="V21" s="24"/>
      <c r="W21" s="24"/>
      <c r="X21" s="24"/>
      <c r="Y21" s="24"/>
      <c r="Z21" s="24"/>
    </row>
    <row r="22" ht="14.25" customHeight="1" spans="1:26">
      <c r="A22" s="24"/>
      <c r="B22" s="24"/>
      <c r="C22" s="12">
        <v>12</v>
      </c>
      <c r="D22" s="5" t="s">
        <v>48</v>
      </c>
      <c r="E22" s="13" t="s">
        <v>49</v>
      </c>
      <c r="F22" s="12">
        <v>28</v>
      </c>
      <c r="G22" s="12">
        <v>28</v>
      </c>
      <c r="H22" s="12">
        <v>29</v>
      </c>
      <c r="I22" s="12">
        <v>29</v>
      </c>
      <c r="J22" s="12">
        <v>30</v>
      </c>
      <c r="K22" s="12">
        <v>28</v>
      </c>
      <c r="L22" s="12">
        <v>28</v>
      </c>
      <c r="M22" s="12">
        <v>30</v>
      </c>
      <c r="N22" s="12">
        <v>28</v>
      </c>
      <c r="O22" s="12">
        <v>29</v>
      </c>
      <c r="P22" s="26">
        <f t="shared" si="0"/>
        <v>28.7</v>
      </c>
      <c r="Q22" s="24"/>
      <c r="R22" s="24"/>
      <c r="S22" s="24"/>
      <c r="T22" s="24"/>
      <c r="U22" s="24"/>
      <c r="V22" s="24"/>
      <c r="W22" s="24"/>
      <c r="X22" s="24"/>
      <c r="Y22" s="24"/>
      <c r="Z22" s="24"/>
    </row>
    <row r="23" ht="14.25" customHeight="1" spans="1:26">
      <c r="A23" s="24"/>
      <c r="B23" s="24"/>
      <c r="C23" s="12">
        <v>13</v>
      </c>
      <c r="D23" s="5" t="s">
        <v>50</v>
      </c>
      <c r="E23" s="13" t="s">
        <v>51</v>
      </c>
      <c r="F23" s="12">
        <v>29</v>
      </c>
      <c r="G23" s="12">
        <v>29</v>
      </c>
      <c r="H23" s="12">
        <v>28</v>
      </c>
      <c r="I23" s="12">
        <v>29</v>
      </c>
      <c r="J23" s="12">
        <v>30</v>
      </c>
      <c r="K23" s="12">
        <v>28</v>
      </c>
      <c r="L23" s="12">
        <v>28</v>
      </c>
      <c r="M23" s="12">
        <v>30</v>
      </c>
      <c r="N23" s="12">
        <v>29</v>
      </c>
      <c r="O23" s="12">
        <v>29</v>
      </c>
      <c r="P23" s="26">
        <f t="shared" si="0"/>
        <v>28.9</v>
      </c>
      <c r="Q23" s="24"/>
      <c r="R23" s="24"/>
      <c r="S23" s="24"/>
      <c r="T23" s="24"/>
      <c r="U23" s="24"/>
      <c r="V23" s="24"/>
      <c r="W23" s="24"/>
      <c r="X23" s="24"/>
      <c r="Y23" s="24"/>
      <c r="Z23" s="24"/>
    </row>
    <row r="24" ht="14.25" customHeight="1" spans="1:26">
      <c r="A24" s="24"/>
      <c r="B24" s="24"/>
      <c r="C24" s="12">
        <v>14</v>
      </c>
      <c r="D24" s="5" t="s">
        <v>52</v>
      </c>
      <c r="E24" s="13" t="s">
        <v>53</v>
      </c>
      <c r="F24" s="12">
        <v>30</v>
      </c>
      <c r="G24" s="12">
        <v>28</v>
      </c>
      <c r="H24" s="12">
        <v>29</v>
      </c>
      <c r="I24" s="12">
        <v>29</v>
      </c>
      <c r="J24" s="12">
        <v>30</v>
      </c>
      <c r="K24" s="12">
        <v>28</v>
      </c>
      <c r="L24" s="12">
        <v>29</v>
      </c>
      <c r="M24" s="12">
        <v>29</v>
      </c>
      <c r="N24" s="12">
        <v>29</v>
      </c>
      <c r="O24" s="12">
        <v>29</v>
      </c>
      <c r="P24" s="26">
        <f t="shared" si="0"/>
        <v>29</v>
      </c>
      <c r="Q24" s="24"/>
      <c r="R24" s="24"/>
      <c r="S24" s="24"/>
      <c r="T24" s="24"/>
      <c r="U24" s="24"/>
      <c r="V24" s="24"/>
      <c r="W24" s="24"/>
      <c r="X24" s="24"/>
      <c r="Y24" s="24"/>
      <c r="Z24" s="24"/>
    </row>
    <row r="25" ht="14.25" customHeight="1" spans="1:26">
      <c r="A25" s="24"/>
      <c r="B25" s="24"/>
      <c r="C25" s="12">
        <v>15</v>
      </c>
      <c r="D25" s="5" t="s">
        <v>54</v>
      </c>
      <c r="E25" s="13" t="s">
        <v>55</v>
      </c>
      <c r="F25" s="12">
        <v>29</v>
      </c>
      <c r="G25" s="12">
        <v>29</v>
      </c>
      <c r="H25" s="12">
        <v>30</v>
      </c>
      <c r="I25" s="12">
        <v>29</v>
      </c>
      <c r="J25" s="12">
        <v>30</v>
      </c>
      <c r="K25" s="12">
        <v>29</v>
      </c>
      <c r="L25" s="12">
        <v>29</v>
      </c>
      <c r="M25" s="12">
        <v>30</v>
      </c>
      <c r="N25" s="12">
        <v>29</v>
      </c>
      <c r="O25" s="12">
        <v>29</v>
      </c>
      <c r="P25" s="26">
        <f t="shared" si="0"/>
        <v>29.3</v>
      </c>
      <c r="Q25" s="24"/>
      <c r="R25" s="24"/>
      <c r="S25" s="24"/>
      <c r="T25" s="24"/>
      <c r="U25" s="24"/>
      <c r="V25" s="24"/>
      <c r="W25" s="24"/>
      <c r="X25" s="24"/>
      <c r="Y25" s="24"/>
      <c r="Z25" s="24"/>
    </row>
    <row r="26" ht="14.25" customHeight="1" spans="1:26">
      <c r="A26" s="24"/>
      <c r="B26" s="24"/>
      <c r="C26" s="12">
        <v>16</v>
      </c>
      <c r="D26" s="5" t="s">
        <v>56</v>
      </c>
      <c r="E26" s="13" t="s">
        <v>57</v>
      </c>
      <c r="F26" s="12">
        <v>30</v>
      </c>
      <c r="G26" s="12">
        <v>30</v>
      </c>
      <c r="H26" s="12">
        <v>30</v>
      </c>
      <c r="I26" s="12">
        <v>29</v>
      </c>
      <c r="J26" s="12">
        <v>30</v>
      </c>
      <c r="K26" s="12">
        <v>29</v>
      </c>
      <c r="L26" s="12">
        <v>30</v>
      </c>
      <c r="M26" s="12">
        <v>30</v>
      </c>
      <c r="N26" s="12">
        <v>29</v>
      </c>
      <c r="O26" s="12">
        <v>29</v>
      </c>
      <c r="P26" s="26">
        <f t="shared" si="0"/>
        <v>29.6</v>
      </c>
      <c r="Q26" s="24"/>
      <c r="R26" s="24"/>
      <c r="S26" s="24"/>
      <c r="T26" s="24"/>
      <c r="U26" s="24"/>
      <c r="V26" s="24"/>
      <c r="W26" s="24"/>
      <c r="X26" s="24"/>
      <c r="Y26" s="24"/>
      <c r="Z26" s="24"/>
    </row>
    <row r="27" ht="14.25" customHeight="1" spans="1:26">
      <c r="A27" s="24"/>
      <c r="B27" s="24"/>
      <c r="C27" s="12">
        <v>17</v>
      </c>
      <c r="D27" s="5" t="s">
        <v>58</v>
      </c>
      <c r="E27" s="13" t="s">
        <v>59</v>
      </c>
      <c r="F27" s="12">
        <v>30</v>
      </c>
      <c r="G27" s="12">
        <v>29</v>
      </c>
      <c r="H27" s="12">
        <v>30</v>
      </c>
      <c r="I27" s="12">
        <v>29</v>
      </c>
      <c r="J27" s="12">
        <v>30</v>
      </c>
      <c r="K27" s="12">
        <v>29</v>
      </c>
      <c r="L27" s="12">
        <v>30</v>
      </c>
      <c r="M27" s="12">
        <v>30</v>
      </c>
      <c r="N27" s="12">
        <v>29</v>
      </c>
      <c r="O27" s="12">
        <v>29</v>
      </c>
      <c r="P27" s="26">
        <f t="shared" si="0"/>
        <v>29.5</v>
      </c>
      <c r="Q27" s="24"/>
      <c r="R27" s="24"/>
      <c r="S27" s="24"/>
      <c r="T27" s="24"/>
      <c r="U27" s="24"/>
      <c r="V27" s="24"/>
      <c r="W27" s="24"/>
      <c r="X27" s="24"/>
      <c r="Y27" s="24"/>
      <c r="Z27" s="24"/>
    </row>
    <row r="28" ht="14.25" customHeight="1" spans="1:26">
      <c r="A28" s="24"/>
      <c r="B28" s="24"/>
      <c r="C28" s="12">
        <v>18</v>
      </c>
      <c r="D28" s="5" t="s">
        <v>60</v>
      </c>
      <c r="E28" s="13" t="s">
        <v>61</v>
      </c>
      <c r="F28" s="12">
        <v>29</v>
      </c>
      <c r="G28" s="12">
        <v>30</v>
      </c>
      <c r="H28" s="12">
        <v>29</v>
      </c>
      <c r="I28" s="12">
        <v>29</v>
      </c>
      <c r="J28" s="12">
        <v>30</v>
      </c>
      <c r="K28" s="12">
        <v>28</v>
      </c>
      <c r="L28" s="12">
        <v>30</v>
      </c>
      <c r="M28" s="12">
        <v>30</v>
      </c>
      <c r="N28" s="12">
        <v>28</v>
      </c>
      <c r="O28" s="12">
        <v>29</v>
      </c>
      <c r="P28" s="26">
        <f t="shared" si="0"/>
        <v>29.2</v>
      </c>
      <c r="Q28" s="24"/>
      <c r="R28" s="24"/>
      <c r="S28" s="24"/>
      <c r="T28" s="24"/>
      <c r="U28" s="24"/>
      <c r="V28" s="24"/>
      <c r="W28" s="24"/>
      <c r="X28" s="24"/>
      <c r="Y28" s="24"/>
      <c r="Z28" s="24"/>
    </row>
    <row r="29" ht="14.25" customHeight="1" spans="1:26">
      <c r="A29" s="24"/>
      <c r="B29" s="24"/>
      <c r="C29" s="12">
        <v>19</v>
      </c>
      <c r="D29" s="5" t="s">
        <v>62</v>
      </c>
      <c r="E29" s="13" t="s">
        <v>63</v>
      </c>
      <c r="F29" s="12">
        <v>30</v>
      </c>
      <c r="G29" s="12">
        <v>29</v>
      </c>
      <c r="H29" s="12">
        <v>29</v>
      </c>
      <c r="I29" s="12">
        <v>29</v>
      </c>
      <c r="J29" s="12">
        <v>30</v>
      </c>
      <c r="K29" s="12">
        <v>28</v>
      </c>
      <c r="L29" s="12">
        <v>29</v>
      </c>
      <c r="M29" s="12">
        <v>30</v>
      </c>
      <c r="N29" s="12">
        <v>28</v>
      </c>
      <c r="O29" s="12">
        <v>29</v>
      </c>
      <c r="P29" s="26">
        <f t="shared" si="0"/>
        <v>29.1</v>
      </c>
      <c r="Q29" s="24"/>
      <c r="R29" s="24"/>
      <c r="S29" s="24"/>
      <c r="T29" s="24"/>
      <c r="U29" s="24"/>
      <c r="V29" s="24"/>
      <c r="W29" s="24"/>
      <c r="X29" s="24"/>
      <c r="Y29" s="24"/>
      <c r="Z29" s="24"/>
    </row>
    <row r="30" ht="14.25" customHeight="1" spans="1:26">
      <c r="A30" s="24"/>
      <c r="B30" s="24"/>
      <c r="C30" s="12">
        <v>20</v>
      </c>
      <c r="D30" s="5" t="s">
        <v>64</v>
      </c>
      <c r="E30" s="13" t="s">
        <v>65</v>
      </c>
      <c r="F30" s="12">
        <v>29</v>
      </c>
      <c r="G30" s="12">
        <v>30</v>
      </c>
      <c r="H30" s="12">
        <v>29</v>
      </c>
      <c r="I30" s="12">
        <v>29</v>
      </c>
      <c r="J30" s="12">
        <v>30</v>
      </c>
      <c r="K30" s="12">
        <v>29</v>
      </c>
      <c r="L30" s="12">
        <v>29</v>
      </c>
      <c r="M30" s="12">
        <v>29</v>
      </c>
      <c r="N30" s="12">
        <v>28</v>
      </c>
      <c r="O30" s="12">
        <v>29</v>
      </c>
      <c r="P30" s="26">
        <f t="shared" si="0"/>
        <v>29.1</v>
      </c>
      <c r="Q30" s="24"/>
      <c r="R30" s="24"/>
      <c r="S30" s="24"/>
      <c r="T30" s="24"/>
      <c r="U30" s="24"/>
      <c r="V30" s="24"/>
      <c r="W30" s="24"/>
      <c r="X30" s="24"/>
      <c r="Y30" s="24"/>
      <c r="Z30" s="24"/>
    </row>
    <row r="31" ht="14.25" customHeight="1" spans="1:26">
      <c r="A31" s="24"/>
      <c r="B31" s="24"/>
      <c r="C31" s="12">
        <v>21</v>
      </c>
      <c r="D31" s="5" t="s">
        <v>66</v>
      </c>
      <c r="E31" s="13" t="s">
        <v>67</v>
      </c>
      <c r="F31" s="12">
        <v>29</v>
      </c>
      <c r="G31" s="12">
        <v>30</v>
      </c>
      <c r="H31" s="12">
        <v>29</v>
      </c>
      <c r="I31" s="12">
        <v>29</v>
      </c>
      <c r="J31" s="12">
        <v>30</v>
      </c>
      <c r="K31" s="12">
        <v>29</v>
      </c>
      <c r="L31" s="12">
        <v>29</v>
      </c>
      <c r="M31" s="12">
        <v>29</v>
      </c>
      <c r="N31" s="12">
        <v>28</v>
      </c>
      <c r="O31" s="12">
        <v>29</v>
      </c>
      <c r="P31" s="26">
        <f t="shared" si="0"/>
        <v>29.1</v>
      </c>
      <c r="Q31" s="24"/>
      <c r="R31" s="24"/>
      <c r="S31" s="24"/>
      <c r="T31" s="24"/>
      <c r="U31" s="24"/>
      <c r="V31" s="24"/>
      <c r="W31" s="24"/>
      <c r="X31" s="24"/>
      <c r="Y31" s="24"/>
      <c r="Z31" s="24"/>
    </row>
    <row r="32" ht="14.25" customHeight="1" spans="1:26">
      <c r="A32" s="24"/>
      <c r="B32" s="24"/>
      <c r="C32" s="12">
        <v>22</v>
      </c>
      <c r="D32" s="5" t="s">
        <v>68</v>
      </c>
      <c r="E32" s="13" t="s">
        <v>69</v>
      </c>
      <c r="F32" s="12">
        <v>29</v>
      </c>
      <c r="G32" s="12">
        <v>30</v>
      </c>
      <c r="H32" s="12">
        <v>29</v>
      </c>
      <c r="I32" s="12">
        <v>29</v>
      </c>
      <c r="J32" s="12">
        <v>30</v>
      </c>
      <c r="K32" s="12">
        <v>29</v>
      </c>
      <c r="L32" s="12">
        <v>29</v>
      </c>
      <c r="M32" s="12">
        <v>29</v>
      </c>
      <c r="N32" s="12">
        <v>28</v>
      </c>
      <c r="O32" s="12">
        <v>29</v>
      </c>
      <c r="P32" s="26">
        <f t="shared" si="0"/>
        <v>29.1</v>
      </c>
      <c r="Q32" s="24"/>
      <c r="R32" s="24"/>
      <c r="S32" s="24"/>
      <c r="T32" s="24"/>
      <c r="U32" s="24"/>
      <c r="V32" s="24"/>
      <c r="W32" s="24"/>
      <c r="X32" s="24"/>
      <c r="Y32" s="24"/>
      <c r="Z32" s="24"/>
    </row>
    <row r="33" ht="14.25" customHeight="1" spans="1:26">
      <c r="A33" s="24"/>
      <c r="B33" s="24"/>
      <c r="C33" s="12">
        <v>23</v>
      </c>
      <c r="D33" s="5" t="s">
        <v>70</v>
      </c>
      <c r="E33" s="13" t="s">
        <v>71</v>
      </c>
      <c r="F33" s="12">
        <v>30</v>
      </c>
      <c r="G33" s="12">
        <v>30</v>
      </c>
      <c r="H33" s="12">
        <v>28</v>
      </c>
      <c r="I33" s="12">
        <v>27</v>
      </c>
      <c r="J33" s="12">
        <v>28</v>
      </c>
      <c r="K33" s="12">
        <v>28</v>
      </c>
      <c r="L33" s="12">
        <v>28</v>
      </c>
      <c r="M33" s="12">
        <v>30</v>
      </c>
      <c r="N33" s="12">
        <v>29</v>
      </c>
      <c r="O33" s="12">
        <v>29</v>
      </c>
      <c r="P33" s="26">
        <f t="shared" si="0"/>
        <v>28.7</v>
      </c>
      <c r="Q33" s="24"/>
      <c r="R33" s="24"/>
      <c r="S33" s="24"/>
      <c r="T33" s="24"/>
      <c r="U33" s="24"/>
      <c r="V33" s="24"/>
      <c r="W33" s="24"/>
      <c r="X33" s="24"/>
      <c r="Y33" s="24"/>
      <c r="Z33" s="24"/>
    </row>
    <row r="34" ht="14.25" customHeight="1" spans="1:26">
      <c r="A34" s="24"/>
      <c r="B34" s="24"/>
      <c r="C34" s="12">
        <v>24</v>
      </c>
      <c r="D34" s="5" t="s">
        <v>72</v>
      </c>
      <c r="E34" s="13" t="s">
        <v>73</v>
      </c>
      <c r="F34" s="12">
        <v>29</v>
      </c>
      <c r="G34" s="12">
        <v>28</v>
      </c>
      <c r="H34" s="12">
        <v>27</v>
      </c>
      <c r="I34" s="12">
        <v>27</v>
      </c>
      <c r="J34" s="12">
        <v>29</v>
      </c>
      <c r="K34" s="12">
        <v>30</v>
      </c>
      <c r="L34" s="12">
        <v>29</v>
      </c>
      <c r="M34" s="12">
        <v>30</v>
      </c>
      <c r="N34" s="12">
        <v>29</v>
      </c>
      <c r="O34" s="12">
        <v>29</v>
      </c>
      <c r="P34" s="26">
        <f t="shared" si="0"/>
        <v>28.7</v>
      </c>
      <c r="Q34" s="24"/>
      <c r="R34" s="24"/>
      <c r="S34" s="24"/>
      <c r="T34" s="24"/>
      <c r="U34" s="24"/>
      <c r="V34" s="24"/>
      <c r="W34" s="24"/>
      <c r="X34" s="24"/>
      <c r="Y34" s="24"/>
      <c r="Z34" s="24"/>
    </row>
    <row r="35" ht="14.25" customHeight="1" spans="1:26">
      <c r="A35" s="24"/>
      <c r="B35" s="24"/>
      <c r="C35" s="12">
        <v>25</v>
      </c>
      <c r="D35" s="5" t="s">
        <v>74</v>
      </c>
      <c r="E35" s="13" t="s">
        <v>75</v>
      </c>
      <c r="F35" s="12">
        <v>30</v>
      </c>
      <c r="G35" s="12">
        <v>30</v>
      </c>
      <c r="H35" s="12">
        <v>30</v>
      </c>
      <c r="I35" s="12">
        <v>29</v>
      </c>
      <c r="J35" s="12">
        <v>30</v>
      </c>
      <c r="K35" s="12">
        <v>30</v>
      </c>
      <c r="L35" s="12">
        <v>29</v>
      </c>
      <c r="M35" s="12">
        <v>29</v>
      </c>
      <c r="N35" s="12">
        <v>29</v>
      </c>
      <c r="O35" s="12">
        <v>29</v>
      </c>
      <c r="P35" s="26">
        <f t="shared" si="0"/>
        <v>29.5</v>
      </c>
      <c r="Q35" s="24"/>
      <c r="R35" s="24"/>
      <c r="S35" s="24"/>
      <c r="T35" s="24"/>
      <c r="U35" s="24"/>
      <c r="V35" s="24"/>
      <c r="W35" s="24"/>
      <c r="X35" s="24"/>
      <c r="Y35" s="24"/>
      <c r="Z35" s="24"/>
    </row>
    <row r="36" ht="14.25" customHeight="1" spans="1:26">
      <c r="A36" s="24"/>
      <c r="B36" s="24"/>
      <c r="C36" s="12">
        <v>26</v>
      </c>
      <c r="D36" s="5" t="s">
        <v>76</v>
      </c>
      <c r="E36" s="13" t="s">
        <v>77</v>
      </c>
      <c r="F36" s="12">
        <v>30</v>
      </c>
      <c r="G36" s="12">
        <v>29</v>
      </c>
      <c r="H36" s="12">
        <v>30</v>
      </c>
      <c r="I36" s="12">
        <v>29</v>
      </c>
      <c r="J36" s="12">
        <v>29</v>
      </c>
      <c r="K36" s="12">
        <v>30</v>
      </c>
      <c r="L36" s="12">
        <v>29</v>
      </c>
      <c r="M36" s="12">
        <v>29</v>
      </c>
      <c r="N36" s="12">
        <v>29</v>
      </c>
      <c r="O36" s="12">
        <v>29</v>
      </c>
      <c r="P36" s="26">
        <f t="shared" si="0"/>
        <v>29.3</v>
      </c>
      <c r="Q36" s="24"/>
      <c r="R36" s="24"/>
      <c r="S36" s="24"/>
      <c r="T36" s="24"/>
      <c r="U36" s="24"/>
      <c r="V36" s="24"/>
      <c r="W36" s="24"/>
      <c r="X36" s="24"/>
      <c r="Y36" s="24"/>
      <c r="Z36" s="24"/>
    </row>
    <row r="37" ht="14.25" customHeight="1" spans="1:26">
      <c r="A37" s="24"/>
      <c r="B37" s="24"/>
      <c r="C37" s="12">
        <v>27</v>
      </c>
      <c r="D37" s="5" t="s">
        <v>78</v>
      </c>
      <c r="E37" s="13" t="s">
        <v>79</v>
      </c>
      <c r="F37" s="12">
        <v>30</v>
      </c>
      <c r="G37" s="12">
        <v>29</v>
      </c>
      <c r="H37" s="12">
        <v>30</v>
      </c>
      <c r="I37" s="12">
        <v>29</v>
      </c>
      <c r="J37" s="12">
        <v>29</v>
      </c>
      <c r="K37" s="12">
        <v>28</v>
      </c>
      <c r="L37" s="12">
        <v>29</v>
      </c>
      <c r="M37" s="12">
        <v>29</v>
      </c>
      <c r="N37" s="12">
        <v>29</v>
      </c>
      <c r="O37" s="12">
        <v>29</v>
      </c>
      <c r="P37" s="26">
        <f t="shared" si="0"/>
        <v>29.1</v>
      </c>
      <c r="Q37" s="24"/>
      <c r="R37" s="24"/>
      <c r="S37" s="24"/>
      <c r="T37" s="24"/>
      <c r="U37" s="24"/>
      <c r="V37" s="24"/>
      <c r="W37" s="24"/>
      <c r="X37" s="24"/>
      <c r="Y37" s="24"/>
      <c r="Z37" s="24"/>
    </row>
    <row r="38" ht="14.25" customHeight="1" spans="1:26">
      <c r="A38" s="24"/>
      <c r="B38" s="24"/>
      <c r="C38" s="12">
        <v>28</v>
      </c>
      <c r="D38" s="5" t="s">
        <v>80</v>
      </c>
      <c r="E38" s="13" t="s">
        <v>81</v>
      </c>
      <c r="F38" s="12">
        <v>30</v>
      </c>
      <c r="G38" s="12">
        <v>29</v>
      </c>
      <c r="H38" s="12">
        <v>28</v>
      </c>
      <c r="I38" s="12">
        <v>29</v>
      </c>
      <c r="J38" s="12">
        <v>30</v>
      </c>
      <c r="K38" s="12">
        <v>27</v>
      </c>
      <c r="L38" s="12">
        <v>29</v>
      </c>
      <c r="M38" s="12">
        <v>29</v>
      </c>
      <c r="N38" s="12">
        <v>29</v>
      </c>
      <c r="O38" s="12">
        <v>29</v>
      </c>
      <c r="P38" s="26">
        <f t="shared" si="0"/>
        <v>28.9</v>
      </c>
      <c r="Q38" s="24"/>
      <c r="R38" s="24"/>
      <c r="S38" s="24"/>
      <c r="T38" s="24"/>
      <c r="U38" s="24"/>
      <c r="V38" s="24"/>
      <c r="W38" s="24"/>
      <c r="X38" s="24"/>
      <c r="Y38" s="24"/>
      <c r="Z38" s="24"/>
    </row>
    <row r="39" ht="14.25" customHeight="1" spans="1:26">
      <c r="A39" s="24"/>
      <c r="B39" s="24"/>
      <c r="C39" s="12">
        <v>29</v>
      </c>
      <c r="D39" s="5" t="s">
        <v>82</v>
      </c>
      <c r="E39" s="13" t="s">
        <v>83</v>
      </c>
      <c r="F39" s="12">
        <v>30</v>
      </c>
      <c r="G39" s="12">
        <v>29</v>
      </c>
      <c r="H39" s="12">
        <v>30</v>
      </c>
      <c r="I39" s="12">
        <v>29</v>
      </c>
      <c r="J39" s="12">
        <v>29</v>
      </c>
      <c r="K39" s="12">
        <v>28</v>
      </c>
      <c r="L39" s="12">
        <v>29</v>
      </c>
      <c r="M39" s="12">
        <v>29</v>
      </c>
      <c r="N39" s="12">
        <v>29</v>
      </c>
      <c r="O39" s="12">
        <v>29</v>
      </c>
      <c r="P39" s="26">
        <f t="shared" si="0"/>
        <v>29.1</v>
      </c>
      <c r="Q39" s="24"/>
      <c r="R39" s="24"/>
      <c r="S39" s="24"/>
      <c r="T39" s="24"/>
      <c r="U39" s="24"/>
      <c r="V39" s="24"/>
      <c r="W39" s="24"/>
      <c r="X39" s="24"/>
      <c r="Y39" s="24"/>
      <c r="Z39" s="24"/>
    </row>
    <row r="40" ht="14.25" customHeight="1" spans="1:26">
      <c r="A40" s="24"/>
      <c r="B40" s="24"/>
      <c r="C40" s="12">
        <v>30</v>
      </c>
      <c r="D40" s="5" t="s">
        <v>84</v>
      </c>
      <c r="E40" s="13" t="s">
        <v>85</v>
      </c>
      <c r="F40" s="12">
        <v>28</v>
      </c>
      <c r="G40" s="12">
        <v>29</v>
      </c>
      <c r="H40" s="12">
        <v>29</v>
      </c>
      <c r="I40" s="12">
        <v>28</v>
      </c>
      <c r="J40" s="12">
        <v>29</v>
      </c>
      <c r="K40" s="12">
        <v>30</v>
      </c>
      <c r="L40" s="12">
        <v>29</v>
      </c>
      <c r="M40" s="12">
        <v>29</v>
      </c>
      <c r="N40" s="12">
        <v>29</v>
      </c>
      <c r="O40" s="12">
        <v>30</v>
      </c>
      <c r="P40" s="26">
        <f t="shared" si="0"/>
        <v>29</v>
      </c>
      <c r="Q40" s="24"/>
      <c r="R40" s="24"/>
      <c r="S40" s="24"/>
      <c r="T40" s="24"/>
      <c r="U40" s="24"/>
      <c r="V40" s="24"/>
      <c r="W40" s="24"/>
      <c r="X40" s="24"/>
      <c r="Y40" s="24"/>
      <c r="Z40" s="24"/>
    </row>
    <row r="41" ht="14.25" customHeight="1" spans="1:26">
      <c r="A41" s="24"/>
      <c r="B41" s="24"/>
      <c r="C41" s="12">
        <v>31</v>
      </c>
      <c r="D41" s="5" t="s">
        <v>86</v>
      </c>
      <c r="E41" s="13" t="s">
        <v>87</v>
      </c>
      <c r="F41" s="12">
        <v>29</v>
      </c>
      <c r="G41" s="12">
        <v>29</v>
      </c>
      <c r="H41" s="12">
        <v>30</v>
      </c>
      <c r="I41" s="12">
        <v>29</v>
      </c>
      <c r="J41" s="12">
        <v>29</v>
      </c>
      <c r="K41" s="12">
        <v>28</v>
      </c>
      <c r="L41" s="12">
        <v>29</v>
      </c>
      <c r="M41" s="12">
        <v>29</v>
      </c>
      <c r="N41" s="12">
        <v>29</v>
      </c>
      <c r="O41" s="12">
        <v>30</v>
      </c>
      <c r="P41" s="26">
        <f t="shared" si="0"/>
        <v>29.1</v>
      </c>
      <c r="Q41" s="24"/>
      <c r="R41" s="24"/>
      <c r="S41" s="24"/>
      <c r="T41" s="24"/>
      <c r="U41" s="24"/>
      <c r="V41" s="24"/>
      <c r="W41" s="24"/>
      <c r="X41" s="24"/>
      <c r="Y41" s="24"/>
      <c r="Z41" s="24"/>
    </row>
    <row r="42" ht="14.25" customHeight="1" spans="1:26">
      <c r="A42" s="24"/>
      <c r="B42" s="24"/>
      <c r="C42" s="12">
        <v>32</v>
      </c>
      <c r="D42" s="5" t="s">
        <v>88</v>
      </c>
      <c r="E42" s="13" t="s">
        <v>89</v>
      </c>
      <c r="F42" s="12">
        <v>29</v>
      </c>
      <c r="G42" s="12">
        <v>29</v>
      </c>
      <c r="H42" s="12">
        <v>30</v>
      </c>
      <c r="I42" s="12">
        <v>29</v>
      </c>
      <c r="J42" s="12">
        <v>29</v>
      </c>
      <c r="K42" s="12">
        <v>28</v>
      </c>
      <c r="L42" s="12">
        <v>29</v>
      </c>
      <c r="M42" s="12">
        <v>30</v>
      </c>
      <c r="N42" s="12">
        <v>29</v>
      </c>
      <c r="O42" s="12">
        <v>30</v>
      </c>
      <c r="P42" s="26">
        <f t="shared" si="0"/>
        <v>29.2</v>
      </c>
      <c r="Q42" s="24"/>
      <c r="R42" s="24"/>
      <c r="S42" s="24"/>
      <c r="T42" s="24"/>
      <c r="U42" s="24"/>
      <c r="V42" s="24"/>
      <c r="W42" s="24"/>
      <c r="X42" s="24"/>
      <c r="Y42" s="24"/>
      <c r="Z42" s="24"/>
    </row>
    <row r="43" ht="14.25" customHeight="1" spans="1:26">
      <c r="A43" s="24"/>
      <c r="B43" s="24"/>
      <c r="C43" s="12">
        <v>33</v>
      </c>
      <c r="D43" s="5" t="s">
        <v>90</v>
      </c>
      <c r="E43" s="13" t="s">
        <v>91</v>
      </c>
      <c r="F43" s="12">
        <v>30</v>
      </c>
      <c r="G43" s="12">
        <v>29</v>
      </c>
      <c r="H43" s="12">
        <v>29</v>
      </c>
      <c r="I43" s="12">
        <v>28</v>
      </c>
      <c r="J43" s="12">
        <v>29</v>
      </c>
      <c r="K43" s="12">
        <v>28</v>
      </c>
      <c r="L43" s="12">
        <v>28</v>
      </c>
      <c r="M43" s="12">
        <v>30</v>
      </c>
      <c r="N43" s="12">
        <v>30</v>
      </c>
      <c r="O43" s="12">
        <v>30</v>
      </c>
      <c r="P43" s="26">
        <f t="shared" si="0"/>
        <v>29.1</v>
      </c>
      <c r="Q43" s="24"/>
      <c r="R43" s="24"/>
      <c r="S43" s="24"/>
      <c r="T43" s="24"/>
      <c r="U43" s="24"/>
      <c r="V43" s="24"/>
      <c r="W43" s="24"/>
      <c r="X43" s="24"/>
      <c r="Y43" s="24"/>
      <c r="Z43" s="24"/>
    </row>
    <row r="44" ht="14.25" customHeight="1" spans="1:26">
      <c r="A44" s="24"/>
      <c r="B44" s="24"/>
      <c r="C44" s="12">
        <v>34</v>
      </c>
      <c r="D44" s="5" t="s">
        <v>92</v>
      </c>
      <c r="E44" s="13" t="s">
        <v>93</v>
      </c>
      <c r="F44" s="12">
        <v>29</v>
      </c>
      <c r="G44" s="12">
        <v>29</v>
      </c>
      <c r="H44" s="12">
        <v>29</v>
      </c>
      <c r="I44" s="12">
        <v>30</v>
      </c>
      <c r="J44" s="12">
        <v>29</v>
      </c>
      <c r="K44" s="12">
        <v>30</v>
      </c>
      <c r="L44" s="12">
        <v>28</v>
      </c>
      <c r="M44" s="12">
        <v>29</v>
      </c>
      <c r="N44" s="12">
        <v>30</v>
      </c>
      <c r="O44" s="12">
        <v>30</v>
      </c>
      <c r="P44" s="26">
        <f t="shared" si="0"/>
        <v>29.3</v>
      </c>
      <c r="Q44" s="24"/>
      <c r="R44" s="24"/>
      <c r="S44" s="24"/>
      <c r="T44" s="24"/>
      <c r="U44" s="24"/>
      <c r="V44" s="24"/>
      <c r="W44" s="24"/>
      <c r="X44" s="24"/>
      <c r="Y44" s="24"/>
      <c r="Z44" s="24"/>
    </row>
    <row r="45" ht="14.25" customHeight="1" spans="1:26">
      <c r="A45" s="24"/>
      <c r="B45" s="24"/>
      <c r="C45" s="12">
        <v>35</v>
      </c>
      <c r="D45" s="5" t="s">
        <v>94</v>
      </c>
      <c r="E45" s="13" t="s">
        <v>95</v>
      </c>
      <c r="F45" s="12">
        <v>29</v>
      </c>
      <c r="G45" s="12">
        <v>29</v>
      </c>
      <c r="H45" s="12">
        <v>30</v>
      </c>
      <c r="I45" s="12">
        <v>29</v>
      </c>
      <c r="J45" s="12">
        <v>29</v>
      </c>
      <c r="K45" s="12">
        <v>28</v>
      </c>
      <c r="L45" s="12">
        <v>28</v>
      </c>
      <c r="M45" s="12">
        <v>29</v>
      </c>
      <c r="N45" s="12">
        <v>29</v>
      </c>
      <c r="O45" s="12">
        <v>30</v>
      </c>
      <c r="P45" s="26">
        <f t="shared" si="0"/>
        <v>29</v>
      </c>
      <c r="Q45" s="24"/>
      <c r="R45" s="24"/>
      <c r="S45" s="24"/>
      <c r="T45" s="24"/>
      <c r="U45" s="24"/>
      <c r="V45" s="24"/>
      <c r="W45" s="24"/>
      <c r="X45" s="24"/>
      <c r="Y45" s="24"/>
      <c r="Z45" s="24"/>
    </row>
    <row r="46" ht="14.25" customHeight="1" spans="1:26">
      <c r="A46" s="24"/>
      <c r="B46" s="24"/>
      <c r="C46" s="12">
        <v>36</v>
      </c>
      <c r="D46" s="5" t="s">
        <v>96</v>
      </c>
      <c r="E46" s="13" t="s">
        <v>97</v>
      </c>
      <c r="F46" s="12">
        <v>28</v>
      </c>
      <c r="G46" s="12">
        <v>27</v>
      </c>
      <c r="H46" s="12">
        <v>29</v>
      </c>
      <c r="I46" s="12">
        <v>28</v>
      </c>
      <c r="J46" s="12">
        <v>29</v>
      </c>
      <c r="K46" s="12">
        <v>27</v>
      </c>
      <c r="L46" s="12">
        <v>28</v>
      </c>
      <c r="M46" s="12">
        <v>29</v>
      </c>
      <c r="N46" s="12">
        <v>29</v>
      </c>
      <c r="O46" s="12">
        <v>30</v>
      </c>
      <c r="P46" s="26">
        <f t="shared" si="0"/>
        <v>28.4</v>
      </c>
      <c r="Q46" s="24"/>
      <c r="R46" s="24"/>
      <c r="S46" s="24"/>
      <c r="T46" s="24"/>
      <c r="U46" s="24"/>
      <c r="V46" s="24"/>
      <c r="W46" s="24"/>
      <c r="X46" s="24"/>
      <c r="Y46" s="24"/>
      <c r="Z46" s="24"/>
    </row>
    <row r="47" ht="14.25" customHeight="1" spans="1:26">
      <c r="A47" s="24"/>
      <c r="B47" s="24"/>
      <c r="C47" s="12">
        <v>37</v>
      </c>
      <c r="D47" s="5" t="s">
        <v>98</v>
      </c>
      <c r="E47" s="13" t="s">
        <v>99</v>
      </c>
      <c r="F47" s="12">
        <v>28</v>
      </c>
      <c r="G47" s="12">
        <v>29</v>
      </c>
      <c r="H47" s="12">
        <v>28</v>
      </c>
      <c r="I47" s="12">
        <v>30</v>
      </c>
      <c r="J47" s="12">
        <v>29</v>
      </c>
      <c r="K47" s="12">
        <v>28</v>
      </c>
      <c r="L47" s="12">
        <v>28</v>
      </c>
      <c r="M47" s="12">
        <v>30</v>
      </c>
      <c r="N47" s="12">
        <v>29</v>
      </c>
      <c r="O47" s="12">
        <v>29</v>
      </c>
      <c r="P47" s="26">
        <f t="shared" si="0"/>
        <v>28.8</v>
      </c>
      <c r="Q47" s="24"/>
      <c r="R47" s="24"/>
      <c r="S47" s="24"/>
      <c r="T47" s="24"/>
      <c r="U47" s="24"/>
      <c r="V47" s="24"/>
      <c r="W47" s="24"/>
      <c r="X47" s="24"/>
      <c r="Y47" s="24"/>
      <c r="Z47" s="24"/>
    </row>
    <row r="48" ht="14.25" customHeight="1" spans="1:26">
      <c r="A48" s="24"/>
      <c r="B48" s="24"/>
      <c r="C48" s="12">
        <v>38</v>
      </c>
      <c r="D48" s="5" t="s">
        <v>100</v>
      </c>
      <c r="E48" s="13" t="s">
        <v>101</v>
      </c>
      <c r="F48" s="12">
        <v>29</v>
      </c>
      <c r="G48" s="12">
        <v>30</v>
      </c>
      <c r="H48" s="12">
        <v>29</v>
      </c>
      <c r="I48" s="12">
        <v>28</v>
      </c>
      <c r="J48" s="12">
        <v>29</v>
      </c>
      <c r="K48" s="12">
        <v>30</v>
      </c>
      <c r="L48" s="12">
        <v>28</v>
      </c>
      <c r="M48" s="12">
        <v>30</v>
      </c>
      <c r="N48" s="12">
        <v>29</v>
      </c>
      <c r="O48" s="12">
        <v>30</v>
      </c>
      <c r="P48" s="26">
        <f t="shared" si="0"/>
        <v>29.2</v>
      </c>
      <c r="Q48" s="24"/>
      <c r="R48" s="24"/>
      <c r="S48" s="24"/>
      <c r="T48" s="24"/>
      <c r="U48" s="24"/>
      <c r="V48" s="24"/>
      <c r="W48" s="24"/>
      <c r="X48" s="24"/>
      <c r="Y48" s="24"/>
      <c r="Z48" s="24"/>
    </row>
    <row r="49" ht="14.25" customHeight="1" spans="1:26">
      <c r="A49" s="24"/>
      <c r="B49" s="24"/>
      <c r="C49" s="12">
        <v>39</v>
      </c>
      <c r="D49" s="5" t="s">
        <v>102</v>
      </c>
      <c r="E49" s="13" t="s">
        <v>103</v>
      </c>
      <c r="F49" s="12">
        <v>30</v>
      </c>
      <c r="G49" s="12">
        <v>30</v>
      </c>
      <c r="H49" s="12">
        <v>29</v>
      </c>
      <c r="I49" s="12">
        <v>29</v>
      </c>
      <c r="J49" s="12">
        <v>29</v>
      </c>
      <c r="K49" s="12">
        <v>30</v>
      </c>
      <c r="L49" s="12">
        <v>28</v>
      </c>
      <c r="M49" s="12">
        <v>29</v>
      </c>
      <c r="N49" s="12">
        <v>30</v>
      </c>
      <c r="O49" s="12">
        <v>30</v>
      </c>
      <c r="P49" s="26">
        <f t="shared" si="0"/>
        <v>29.4</v>
      </c>
      <c r="Q49" s="24"/>
      <c r="R49" s="24"/>
      <c r="S49" s="24"/>
      <c r="T49" s="24"/>
      <c r="U49" s="24"/>
      <c r="V49" s="24"/>
      <c r="W49" s="24"/>
      <c r="X49" s="24"/>
      <c r="Y49" s="24"/>
      <c r="Z49" s="24"/>
    </row>
    <row r="50" ht="14.25" customHeight="1" spans="1:26">
      <c r="A50" s="24"/>
      <c r="B50" s="24"/>
      <c r="C50" s="12">
        <v>40</v>
      </c>
      <c r="D50" s="5" t="s">
        <v>104</v>
      </c>
      <c r="E50" s="13" t="s">
        <v>105</v>
      </c>
      <c r="F50" s="12">
        <v>30</v>
      </c>
      <c r="G50" s="12">
        <v>28</v>
      </c>
      <c r="H50" s="12">
        <v>27</v>
      </c>
      <c r="I50" s="12">
        <v>27</v>
      </c>
      <c r="J50" s="12">
        <v>29</v>
      </c>
      <c r="K50" s="12">
        <v>28</v>
      </c>
      <c r="L50" s="12">
        <v>29</v>
      </c>
      <c r="M50" s="12">
        <v>29</v>
      </c>
      <c r="N50" s="12">
        <v>30</v>
      </c>
      <c r="O50" s="12">
        <v>30</v>
      </c>
      <c r="P50" s="26">
        <f t="shared" si="0"/>
        <v>28.7</v>
      </c>
      <c r="Q50" s="24"/>
      <c r="R50" s="24"/>
      <c r="S50" s="24"/>
      <c r="T50" s="24"/>
      <c r="U50" s="24"/>
      <c r="V50" s="24"/>
      <c r="W50" s="24"/>
      <c r="X50" s="24"/>
      <c r="Y50" s="24"/>
      <c r="Z50" s="24"/>
    </row>
    <row r="51" ht="14.25" customHeight="1" spans="1:26">
      <c r="A51" s="24"/>
      <c r="B51" s="24"/>
      <c r="C51" s="12">
        <v>41</v>
      </c>
      <c r="D51" s="5" t="s">
        <v>106</v>
      </c>
      <c r="E51" s="13" t="s">
        <v>107</v>
      </c>
      <c r="F51" s="12">
        <v>29</v>
      </c>
      <c r="G51" s="12">
        <v>28</v>
      </c>
      <c r="H51" s="12">
        <v>29</v>
      </c>
      <c r="I51" s="12">
        <v>27</v>
      </c>
      <c r="J51" s="12">
        <v>29</v>
      </c>
      <c r="K51" s="12">
        <v>28</v>
      </c>
      <c r="L51" s="12">
        <v>29</v>
      </c>
      <c r="M51" s="12">
        <v>29</v>
      </c>
      <c r="N51" s="12">
        <v>30</v>
      </c>
      <c r="O51" s="12">
        <v>30</v>
      </c>
      <c r="P51" s="26">
        <f t="shared" si="0"/>
        <v>28.8</v>
      </c>
      <c r="Q51" s="24"/>
      <c r="R51" s="24"/>
      <c r="S51" s="24"/>
      <c r="T51" s="24"/>
      <c r="U51" s="24"/>
      <c r="V51" s="24"/>
      <c r="W51" s="24"/>
      <c r="X51" s="24"/>
      <c r="Y51" s="24"/>
      <c r="Z51" s="24"/>
    </row>
    <row r="52" ht="14.25" customHeight="1" spans="1:26">
      <c r="A52" s="24"/>
      <c r="B52" s="24"/>
      <c r="C52" s="12">
        <v>42</v>
      </c>
      <c r="D52" s="5" t="s">
        <v>108</v>
      </c>
      <c r="E52" s="13" t="s">
        <v>109</v>
      </c>
      <c r="F52" s="12">
        <v>27</v>
      </c>
      <c r="G52" s="12">
        <v>27</v>
      </c>
      <c r="H52" s="12">
        <v>27</v>
      </c>
      <c r="I52" s="12">
        <v>27</v>
      </c>
      <c r="J52" s="12">
        <v>29</v>
      </c>
      <c r="K52" s="12">
        <v>29</v>
      </c>
      <c r="L52" s="12">
        <v>29</v>
      </c>
      <c r="M52" s="12">
        <v>30</v>
      </c>
      <c r="N52" s="12">
        <v>29</v>
      </c>
      <c r="O52" s="12">
        <v>30</v>
      </c>
      <c r="P52" s="26">
        <f t="shared" si="0"/>
        <v>28.4</v>
      </c>
      <c r="Q52" s="24"/>
      <c r="R52" s="24"/>
      <c r="S52" s="24"/>
      <c r="T52" s="24"/>
      <c r="U52" s="24"/>
      <c r="V52" s="24"/>
      <c r="W52" s="24"/>
      <c r="X52" s="24"/>
      <c r="Y52" s="24"/>
      <c r="Z52" s="24"/>
    </row>
    <row r="53" ht="14.25" customHeight="1" spans="1:26">
      <c r="A53" s="24"/>
      <c r="B53" s="24"/>
      <c r="C53" s="12">
        <v>43</v>
      </c>
      <c r="D53" s="5" t="s">
        <v>110</v>
      </c>
      <c r="E53" s="13" t="s">
        <v>111</v>
      </c>
      <c r="F53" s="12">
        <v>30</v>
      </c>
      <c r="G53" s="12">
        <v>30</v>
      </c>
      <c r="H53" s="12">
        <v>29</v>
      </c>
      <c r="I53" s="12">
        <v>29</v>
      </c>
      <c r="J53" s="12">
        <v>29</v>
      </c>
      <c r="K53" s="12">
        <v>30</v>
      </c>
      <c r="L53" s="12">
        <v>29</v>
      </c>
      <c r="M53" s="12">
        <v>30</v>
      </c>
      <c r="N53" s="12">
        <v>30</v>
      </c>
      <c r="O53" s="12">
        <v>30</v>
      </c>
      <c r="P53" s="26">
        <f t="shared" si="0"/>
        <v>29.6</v>
      </c>
      <c r="Q53" s="24"/>
      <c r="R53" s="24"/>
      <c r="S53" s="24"/>
      <c r="T53" s="24"/>
      <c r="U53" s="24"/>
      <c r="V53" s="24"/>
      <c r="W53" s="24"/>
      <c r="X53" s="24"/>
      <c r="Y53" s="24"/>
      <c r="Z53" s="24"/>
    </row>
    <row r="54" ht="14.25" customHeight="1" spans="1:26">
      <c r="A54" s="24"/>
      <c r="B54" s="24"/>
      <c r="C54" s="12">
        <v>44</v>
      </c>
      <c r="D54" s="5" t="s">
        <v>112</v>
      </c>
      <c r="E54" s="13" t="s">
        <v>113</v>
      </c>
      <c r="F54" s="12">
        <v>30</v>
      </c>
      <c r="G54" s="12">
        <v>30</v>
      </c>
      <c r="H54" s="12">
        <v>30</v>
      </c>
      <c r="I54" s="12">
        <v>30</v>
      </c>
      <c r="J54" s="12">
        <v>27</v>
      </c>
      <c r="K54" s="12">
        <v>30</v>
      </c>
      <c r="L54" s="12">
        <v>30</v>
      </c>
      <c r="M54" s="12">
        <v>29</v>
      </c>
      <c r="N54" s="12">
        <v>28</v>
      </c>
      <c r="O54" s="12">
        <v>28</v>
      </c>
      <c r="P54" s="26">
        <f t="shared" si="0"/>
        <v>29.2</v>
      </c>
      <c r="Q54" s="24"/>
      <c r="R54" s="24"/>
      <c r="S54" s="24"/>
      <c r="T54" s="24"/>
      <c r="U54" s="24"/>
      <c r="V54" s="24"/>
      <c r="W54" s="24"/>
      <c r="X54" s="24"/>
      <c r="Y54" s="24"/>
      <c r="Z54" s="24"/>
    </row>
    <row r="55" ht="14.25" customHeight="1" spans="1:26">
      <c r="A55" s="24"/>
      <c r="B55" s="24"/>
      <c r="C55" s="12">
        <v>45</v>
      </c>
      <c r="D55" s="5" t="s">
        <v>114</v>
      </c>
      <c r="E55" s="13" t="s">
        <v>115</v>
      </c>
      <c r="F55" s="12">
        <v>28</v>
      </c>
      <c r="G55" s="12">
        <v>26</v>
      </c>
      <c r="H55" s="12">
        <v>25</v>
      </c>
      <c r="I55" s="12">
        <v>26</v>
      </c>
      <c r="J55" s="12">
        <v>27</v>
      </c>
      <c r="K55" s="12">
        <v>27</v>
      </c>
      <c r="L55" s="12">
        <v>27</v>
      </c>
      <c r="M55" s="12">
        <v>27</v>
      </c>
      <c r="N55" s="12">
        <v>30</v>
      </c>
      <c r="O55" s="12">
        <v>30</v>
      </c>
      <c r="P55" s="26">
        <f t="shared" si="0"/>
        <v>27.3</v>
      </c>
      <c r="Q55" s="24"/>
      <c r="R55" s="24"/>
      <c r="S55" s="24"/>
      <c r="T55" s="24"/>
      <c r="U55" s="24"/>
      <c r="V55" s="24"/>
      <c r="W55" s="24"/>
      <c r="X55" s="24"/>
      <c r="Y55" s="24"/>
      <c r="Z55" s="24"/>
    </row>
    <row r="56" ht="14.25" customHeight="1" spans="1:26">
      <c r="A56" s="24"/>
      <c r="B56" s="24"/>
      <c r="C56" s="12">
        <v>46</v>
      </c>
      <c r="D56" s="5" t="s">
        <v>116</v>
      </c>
      <c r="E56" s="13" t="s">
        <v>117</v>
      </c>
      <c r="F56" s="12">
        <v>28</v>
      </c>
      <c r="G56" s="12">
        <v>28</v>
      </c>
      <c r="H56" s="12">
        <v>29</v>
      </c>
      <c r="I56" s="12">
        <v>30</v>
      </c>
      <c r="J56" s="12">
        <v>26</v>
      </c>
      <c r="K56" s="12">
        <v>30</v>
      </c>
      <c r="L56" s="12">
        <v>29</v>
      </c>
      <c r="M56" s="12">
        <v>28</v>
      </c>
      <c r="N56" s="12">
        <v>29</v>
      </c>
      <c r="O56" s="12">
        <v>29</v>
      </c>
      <c r="P56" s="26">
        <f t="shared" si="0"/>
        <v>28.6</v>
      </c>
      <c r="Q56" s="24"/>
      <c r="R56" s="24"/>
      <c r="S56" s="24"/>
      <c r="T56" s="24"/>
      <c r="U56" s="24"/>
      <c r="V56" s="24"/>
      <c r="W56" s="24"/>
      <c r="X56" s="24"/>
      <c r="Y56" s="24"/>
      <c r="Z56" s="24"/>
    </row>
    <row r="57" ht="14.25" customHeight="1" spans="1:26">
      <c r="A57" s="24"/>
      <c r="B57" s="24"/>
      <c r="C57" s="12">
        <v>47</v>
      </c>
      <c r="D57" s="5" t="s">
        <v>118</v>
      </c>
      <c r="E57" s="13" t="s">
        <v>119</v>
      </c>
      <c r="F57" s="12">
        <v>28</v>
      </c>
      <c r="G57" s="12">
        <v>28</v>
      </c>
      <c r="H57" s="12">
        <v>29</v>
      </c>
      <c r="I57" s="12">
        <v>28</v>
      </c>
      <c r="J57" s="12">
        <v>26</v>
      </c>
      <c r="K57" s="12">
        <v>27</v>
      </c>
      <c r="L57" s="12">
        <v>27</v>
      </c>
      <c r="M57" s="12">
        <v>27</v>
      </c>
      <c r="N57" s="12">
        <v>27</v>
      </c>
      <c r="O57" s="12">
        <v>27</v>
      </c>
      <c r="P57" s="26">
        <f t="shared" si="0"/>
        <v>27.4</v>
      </c>
      <c r="Q57" s="24"/>
      <c r="R57" s="24"/>
      <c r="S57" s="24"/>
      <c r="T57" s="24"/>
      <c r="U57" s="24"/>
      <c r="V57" s="24"/>
      <c r="W57" s="24"/>
      <c r="X57" s="24"/>
      <c r="Y57" s="24"/>
      <c r="Z57" s="24"/>
    </row>
    <row r="58" ht="14.25" customHeight="1" spans="1:26">
      <c r="A58" s="24"/>
      <c r="B58" s="24"/>
      <c r="C58" s="12">
        <v>48</v>
      </c>
      <c r="D58" s="5" t="s">
        <v>120</v>
      </c>
      <c r="E58" s="13" t="s">
        <v>121</v>
      </c>
      <c r="F58" s="12">
        <v>28</v>
      </c>
      <c r="G58" s="12">
        <v>28</v>
      </c>
      <c r="H58" s="12">
        <v>28</v>
      </c>
      <c r="I58" s="12">
        <v>25</v>
      </c>
      <c r="J58" s="12">
        <v>26</v>
      </c>
      <c r="K58" s="12">
        <v>27</v>
      </c>
      <c r="L58" s="12">
        <v>27</v>
      </c>
      <c r="M58" s="12">
        <v>27</v>
      </c>
      <c r="N58" s="12">
        <v>27</v>
      </c>
      <c r="O58" s="12">
        <v>27</v>
      </c>
      <c r="P58" s="26">
        <f t="shared" si="0"/>
        <v>27</v>
      </c>
      <c r="Q58" s="24"/>
      <c r="R58" s="24"/>
      <c r="S58" s="24"/>
      <c r="T58" s="24"/>
      <c r="U58" s="24"/>
      <c r="V58" s="24"/>
      <c r="W58" s="24"/>
      <c r="X58" s="24"/>
      <c r="Y58" s="24"/>
      <c r="Z58" s="24"/>
    </row>
    <row r="59" ht="14.25" customHeight="1" spans="1:26">
      <c r="A59" s="24"/>
      <c r="B59" s="24"/>
      <c r="C59" s="12">
        <v>49</v>
      </c>
      <c r="D59" s="5" t="s">
        <v>122</v>
      </c>
      <c r="E59" s="13" t="s">
        <v>123</v>
      </c>
      <c r="F59" s="12">
        <v>26</v>
      </c>
      <c r="G59" s="12">
        <v>26</v>
      </c>
      <c r="H59" s="12">
        <v>26</v>
      </c>
      <c r="I59" s="12">
        <v>28</v>
      </c>
      <c r="J59" s="12">
        <v>26</v>
      </c>
      <c r="K59" s="12">
        <v>28</v>
      </c>
      <c r="L59" s="12">
        <v>27</v>
      </c>
      <c r="M59" s="12">
        <v>26</v>
      </c>
      <c r="N59" s="12">
        <v>28</v>
      </c>
      <c r="O59" s="12">
        <v>29</v>
      </c>
      <c r="P59" s="26">
        <f t="shared" si="0"/>
        <v>27</v>
      </c>
      <c r="Q59" s="24"/>
      <c r="R59" s="24"/>
      <c r="S59" s="24"/>
      <c r="T59" s="24"/>
      <c r="U59" s="24"/>
      <c r="V59" s="24"/>
      <c r="W59" s="24"/>
      <c r="X59" s="24"/>
      <c r="Y59" s="24"/>
      <c r="Z59" s="24"/>
    </row>
    <row r="60" ht="14.25" customHeight="1" spans="1:26">
      <c r="A60" s="24"/>
      <c r="B60" s="24"/>
      <c r="C60" s="12">
        <v>50</v>
      </c>
      <c r="D60" s="5" t="s">
        <v>124</v>
      </c>
      <c r="E60" s="13" t="s">
        <v>125</v>
      </c>
      <c r="F60" s="12">
        <v>28</v>
      </c>
      <c r="G60" s="12">
        <v>28</v>
      </c>
      <c r="H60" s="12">
        <v>29</v>
      </c>
      <c r="I60" s="12">
        <v>30</v>
      </c>
      <c r="J60" s="12">
        <v>26</v>
      </c>
      <c r="K60" s="12">
        <v>28</v>
      </c>
      <c r="L60" s="12">
        <v>26</v>
      </c>
      <c r="M60" s="12">
        <v>27</v>
      </c>
      <c r="N60" s="12">
        <v>28</v>
      </c>
      <c r="O60" s="12">
        <v>29</v>
      </c>
      <c r="P60" s="26">
        <f t="shared" si="0"/>
        <v>27.9</v>
      </c>
      <c r="Q60" s="24"/>
      <c r="R60" s="24"/>
      <c r="S60" s="24"/>
      <c r="T60" s="24"/>
      <c r="U60" s="24"/>
      <c r="V60" s="24"/>
      <c r="W60" s="24"/>
      <c r="X60" s="24"/>
      <c r="Y60" s="24"/>
      <c r="Z60" s="24"/>
    </row>
    <row r="61" ht="14.25" customHeight="1" spans="1:26">
      <c r="A61" s="24"/>
      <c r="B61" s="24"/>
      <c r="C61" s="12">
        <v>51</v>
      </c>
      <c r="D61" s="5" t="s">
        <v>126</v>
      </c>
      <c r="E61" s="13" t="s">
        <v>127</v>
      </c>
      <c r="F61" s="12">
        <v>30</v>
      </c>
      <c r="G61" s="12">
        <v>30</v>
      </c>
      <c r="H61" s="12">
        <v>30</v>
      </c>
      <c r="I61" s="12">
        <v>30</v>
      </c>
      <c r="J61" s="12">
        <v>27</v>
      </c>
      <c r="K61" s="12">
        <v>30</v>
      </c>
      <c r="L61" s="12">
        <v>29</v>
      </c>
      <c r="M61" s="12">
        <v>28</v>
      </c>
      <c r="N61" s="12">
        <v>28</v>
      </c>
      <c r="O61" s="12">
        <v>28</v>
      </c>
      <c r="P61" s="26">
        <f t="shared" si="0"/>
        <v>29</v>
      </c>
      <c r="Q61" s="24"/>
      <c r="R61" s="24"/>
      <c r="S61" s="24"/>
      <c r="T61" s="24"/>
      <c r="U61" s="24"/>
      <c r="V61" s="24"/>
      <c r="W61" s="24"/>
      <c r="X61" s="24"/>
      <c r="Y61" s="24"/>
      <c r="Z61" s="24"/>
    </row>
    <row r="62" ht="14.25" customHeight="1" spans="1:26">
      <c r="A62" s="24"/>
      <c r="B62" s="24"/>
      <c r="C62" s="12">
        <v>52</v>
      </c>
      <c r="D62" s="5" t="s">
        <v>128</v>
      </c>
      <c r="E62" s="13" t="s">
        <v>129</v>
      </c>
      <c r="F62" s="12">
        <v>0</v>
      </c>
      <c r="G62" s="12">
        <v>0</v>
      </c>
      <c r="H62" s="12">
        <v>0</v>
      </c>
      <c r="I62" s="12">
        <v>0</v>
      </c>
      <c r="J62" s="12">
        <v>0</v>
      </c>
      <c r="K62" s="12">
        <v>0</v>
      </c>
      <c r="L62" s="12">
        <v>0</v>
      </c>
      <c r="M62" s="12">
        <v>0</v>
      </c>
      <c r="N62" s="12">
        <v>0</v>
      </c>
      <c r="O62" s="12">
        <v>0</v>
      </c>
      <c r="P62" s="26">
        <f t="shared" si="0"/>
        <v>0</v>
      </c>
      <c r="Q62" s="24"/>
      <c r="R62" s="24"/>
      <c r="S62" s="24"/>
      <c r="T62" s="24"/>
      <c r="U62" s="24"/>
      <c r="V62" s="24"/>
      <c r="W62" s="24"/>
      <c r="X62" s="24"/>
      <c r="Y62" s="24"/>
      <c r="Z62" s="24"/>
    </row>
    <row r="63" ht="14.25" customHeight="1" spans="1:26">
      <c r="A63" s="24"/>
      <c r="B63" s="24"/>
      <c r="C63" s="12">
        <v>53</v>
      </c>
      <c r="D63" s="5" t="s">
        <v>130</v>
      </c>
      <c r="E63" s="13" t="s">
        <v>131</v>
      </c>
      <c r="F63" s="12">
        <v>30</v>
      </c>
      <c r="G63" s="12">
        <v>30</v>
      </c>
      <c r="H63" s="12">
        <v>30</v>
      </c>
      <c r="I63" s="12">
        <v>30</v>
      </c>
      <c r="J63" s="12">
        <v>26</v>
      </c>
      <c r="K63" s="12">
        <v>28</v>
      </c>
      <c r="L63" s="12">
        <v>30</v>
      </c>
      <c r="M63" s="12">
        <v>30</v>
      </c>
      <c r="N63" s="12">
        <v>30</v>
      </c>
      <c r="O63" s="12">
        <v>30</v>
      </c>
      <c r="P63" s="26">
        <f t="shared" si="0"/>
        <v>29.4</v>
      </c>
      <c r="Q63" s="24"/>
      <c r="R63" s="24"/>
      <c r="S63" s="24"/>
      <c r="T63" s="24"/>
      <c r="U63" s="24"/>
      <c r="V63" s="24"/>
      <c r="W63" s="24"/>
      <c r="X63" s="24"/>
      <c r="Y63" s="24"/>
      <c r="Z63" s="24"/>
    </row>
    <row r="64" ht="14.25" customHeight="1" spans="1:26">
      <c r="A64" s="24"/>
      <c r="B64" s="24"/>
      <c r="C64" s="12">
        <v>54</v>
      </c>
      <c r="D64" s="5" t="s">
        <v>132</v>
      </c>
      <c r="E64" s="13" t="s">
        <v>133</v>
      </c>
      <c r="F64" s="12">
        <v>28</v>
      </c>
      <c r="G64" s="12">
        <v>28</v>
      </c>
      <c r="H64" s="12">
        <v>30</v>
      </c>
      <c r="I64" s="12">
        <v>30</v>
      </c>
      <c r="J64" s="12">
        <v>26</v>
      </c>
      <c r="K64" s="12">
        <v>27</v>
      </c>
      <c r="L64" s="12">
        <v>28</v>
      </c>
      <c r="M64" s="12">
        <v>30</v>
      </c>
      <c r="N64" s="12">
        <v>29</v>
      </c>
      <c r="O64" s="12">
        <v>30</v>
      </c>
      <c r="P64" s="26">
        <f t="shared" si="0"/>
        <v>28.6</v>
      </c>
      <c r="Q64" s="24"/>
      <c r="R64" s="24"/>
      <c r="S64" s="24"/>
      <c r="T64" s="24"/>
      <c r="U64" s="24"/>
      <c r="V64" s="24"/>
      <c r="W64" s="24"/>
      <c r="X64" s="24"/>
      <c r="Y64" s="24"/>
      <c r="Z64" s="24"/>
    </row>
    <row r="65" ht="14.25" customHeight="1" spans="1:26">
      <c r="A65" s="24"/>
      <c r="B65" s="24"/>
      <c r="C65" s="12">
        <v>55</v>
      </c>
      <c r="D65" s="5" t="s">
        <v>134</v>
      </c>
      <c r="E65" s="13" t="s">
        <v>135</v>
      </c>
      <c r="F65" s="12">
        <v>29</v>
      </c>
      <c r="G65" s="12">
        <v>30</v>
      </c>
      <c r="H65" s="12">
        <v>30</v>
      </c>
      <c r="I65" s="12">
        <v>30</v>
      </c>
      <c r="J65" s="12">
        <v>26</v>
      </c>
      <c r="K65" s="12">
        <v>27</v>
      </c>
      <c r="L65" s="12">
        <v>28</v>
      </c>
      <c r="M65" s="12">
        <v>28</v>
      </c>
      <c r="N65" s="12">
        <v>28</v>
      </c>
      <c r="O65" s="12">
        <v>29</v>
      </c>
      <c r="P65" s="26">
        <f t="shared" si="0"/>
        <v>28.5</v>
      </c>
      <c r="Q65" s="24"/>
      <c r="R65" s="24"/>
      <c r="S65" s="24"/>
      <c r="T65" s="24"/>
      <c r="U65" s="24"/>
      <c r="V65" s="24"/>
      <c r="W65" s="24"/>
      <c r="X65" s="24"/>
      <c r="Y65" s="24"/>
      <c r="Z65" s="24"/>
    </row>
    <row r="66" ht="14.25" customHeight="1" spans="1:26">
      <c r="A66" s="24"/>
      <c r="B66" s="24"/>
      <c r="C66" s="12">
        <v>56</v>
      </c>
      <c r="D66" s="5" t="s">
        <v>136</v>
      </c>
      <c r="E66" s="13" t="s">
        <v>137</v>
      </c>
      <c r="F66" s="12">
        <v>28</v>
      </c>
      <c r="G66" s="12">
        <v>26</v>
      </c>
      <c r="H66" s="12">
        <v>26</v>
      </c>
      <c r="I66" s="12">
        <v>28</v>
      </c>
      <c r="J66" s="12">
        <v>27</v>
      </c>
      <c r="K66" s="12">
        <v>28</v>
      </c>
      <c r="L66" s="12">
        <v>29</v>
      </c>
      <c r="M66" s="12">
        <v>30</v>
      </c>
      <c r="N66" s="12">
        <v>28</v>
      </c>
      <c r="O66" s="12">
        <v>29</v>
      </c>
      <c r="P66" s="26">
        <f t="shared" si="0"/>
        <v>27.9</v>
      </c>
      <c r="Q66" s="24"/>
      <c r="R66" s="24"/>
      <c r="S66" s="24"/>
      <c r="T66" s="24"/>
      <c r="U66" s="24"/>
      <c r="V66" s="24"/>
      <c r="W66" s="24"/>
      <c r="X66" s="24"/>
      <c r="Y66" s="24"/>
      <c r="Z66" s="24"/>
    </row>
    <row r="67" ht="14.25" customHeight="1" spans="1:26">
      <c r="A67" s="24"/>
      <c r="B67" s="24"/>
      <c r="C67" s="12">
        <v>57</v>
      </c>
      <c r="D67" s="5" t="s">
        <v>138</v>
      </c>
      <c r="E67" s="13" t="s">
        <v>139</v>
      </c>
      <c r="F67" s="12">
        <v>28</v>
      </c>
      <c r="G67" s="12">
        <v>26</v>
      </c>
      <c r="H67" s="12">
        <v>26</v>
      </c>
      <c r="I67" s="12">
        <v>28</v>
      </c>
      <c r="J67" s="12">
        <v>27</v>
      </c>
      <c r="K67" s="12">
        <v>30</v>
      </c>
      <c r="L67" s="12">
        <v>26</v>
      </c>
      <c r="M67" s="12">
        <v>26</v>
      </c>
      <c r="N67" s="12">
        <v>30</v>
      </c>
      <c r="O67" s="12">
        <v>26</v>
      </c>
      <c r="P67" s="26">
        <f t="shared" si="0"/>
        <v>27.3</v>
      </c>
      <c r="Q67" s="24"/>
      <c r="R67" s="24"/>
      <c r="S67" s="24"/>
      <c r="T67" s="24"/>
      <c r="U67" s="24"/>
      <c r="V67" s="24"/>
      <c r="W67" s="24"/>
      <c r="X67" s="24"/>
      <c r="Y67" s="24"/>
      <c r="Z67" s="24"/>
    </row>
    <row r="68" ht="14.25" customHeight="1" spans="1:26">
      <c r="A68" s="24"/>
      <c r="B68" s="24"/>
      <c r="C68" s="12">
        <v>58</v>
      </c>
      <c r="D68" s="5" t="s">
        <v>140</v>
      </c>
      <c r="E68" s="13" t="s">
        <v>141</v>
      </c>
      <c r="F68" s="12">
        <v>28</v>
      </c>
      <c r="G68" s="12">
        <v>26</v>
      </c>
      <c r="H68" s="12">
        <v>26</v>
      </c>
      <c r="I68" s="12">
        <v>27</v>
      </c>
      <c r="J68" s="12">
        <v>26</v>
      </c>
      <c r="K68" s="12">
        <v>27</v>
      </c>
      <c r="L68" s="12">
        <v>28</v>
      </c>
      <c r="M68" s="12">
        <v>29</v>
      </c>
      <c r="N68" s="12">
        <v>30</v>
      </c>
      <c r="O68" s="12">
        <v>29</v>
      </c>
      <c r="P68" s="26">
        <f t="shared" si="0"/>
        <v>27.6</v>
      </c>
      <c r="Q68" s="24"/>
      <c r="R68" s="24"/>
      <c r="S68" s="24"/>
      <c r="T68" s="24"/>
      <c r="U68" s="24"/>
      <c r="V68" s="24"/>
      <c r="W68" s="24"/>
      <c r="X68" s="24"/>
      <c r="Y68" s="24"/>
      <c r="Z68" s="24"/>
    </row>
    <row r="69" ht="14.25" customHeight="1" spans="1:26">
      <c r="A69" s="24"/>
      <c r="B69" s="24"/>
      <c r="C69" s="12">
        <v>59</v>
      </c>
      <c r="D69" s="5" t="s">
        <v>142</v>
      </c>
      <c r="E69" s="13" t="s">
        <v>143</v>
      </c>
      <c r="F69" s="12">
        <v>28</v>
      </c>
      <c r="G69" s="12">
        <v>28</v>
      </c>
      <c r="H69" s="12">
        <v>30</v>
      </c>
      <c r="I69" s="12">
        <v>28</v>
      </c>
      <c r="J69" s="12">
        <v>27</v>
      </c>
      <c r="K69" s="12">
        <v>26</v>
      </c>
      <c r="L69" s="12">
        <v>28</v>
      </c>
      <c r="M69" s="12">
        <v>29</v>
      </c>
      <c r="N69" s="12">
        <v>29</v>
      </c>
      <c r="O69" s="12">
        <v>29</v>
      </c>
      <c r="P69" s="26">
        <f t="shared" si="0"/>
        <v>28.2</v>
      </c>
      <c r="Q69" s="24"/>
      <c r="R69" s="24"/>
      <c r="S69" s="24"/>
      <c r="T69" s="24"/>
      <c r="U69" s="24"/>
      <c r="V69" s="24"/>
      <c r="W69" s="24"/>
      <c r="X69" s="24"/>
      <c r="Y69" s="24"/>
      <c r="Z69" s="24"/>
    </row>
    <row r="70" ht="14.25" customHeight="1" spans="1:26">
      <c r="A70" s="24"/>
      <c r="B70" s="24"/>
      <c r="C70" s="12">
        <v>60</v>
      </c>
      <c r="D70" s="5" t="s">
        <v>144</v>
      </c>
      <c r="E70" s="13" t="s">
        <v>145</v>
      </c>
      <c r="F70" s="12">
        <v>28</v>
      </c>
      <c r="G70" s="12">
        <v>28</v>
      </c>
      <c r="H70" s="12">
        <v>30</v>
      </c>
      <c r="I70" s="12">
        <v>28</v>
      </c>
      <c r="J70" s="12">
        <v>27</v>
      </c>
      <c r="K70" s="12">
        <v>30</v>
      </c>
      <c r="L70" s="12">
        <v>30</v>
      </c>
      <c r="M70" s="12">
        <v>30</v>
      </c>
      <c r="N70" s="12">
        <v>29</v>
      </c>
      <c r="O70" s="12">
        <v>29</v>
      </c>
      <c r="P70" s="26">
        <f t="shared" si="0"/>
        <v>28.9</v>
      </c>
      <c r="Q70" s="24"/>
      <c r="R70" s="24"/>
      <c r="S70" s="24"/>
      <c r="T70" s="24"/>
      <c r="U70" s="24"/>
      <c r="V70" s="24"/>
      <c r="W70" s="24"/>
      <c r="X70" s="24"/>
      <c r="Y70" s="24"/>
      <c r="Z70" s="24"/>
    </row>
    <row r="71" ht="14.25" customHeight="1" spans="1:26">
      <c r="A71" s="24"/>
      <c r="B71" s="24"/>
      <c r="C71" s="12">
        <v>61</v>
      </c>
      <c r="D71" s="5" t="s">
        <v>146</v>
      </c>
      <c r="E71" s="13" t="s">
        <v>147</v>
      </c>
      <c r="F71" s="12">
        <v>30</v>
      </c>
      <c r="G71" s="12">
        <v>30</v>
      </c>
      <c r="H71" s="12">
        <v>30</v>
      </c>
      <c r="I71" s="12">
        <v>30</v>
      </c>
      <c r="J71" s="12">
        <v>26</v>
      </c>
      <c r="K71" s="12">
        <v>27</v>
      </c>
      <c r="L71" s="12">
        <v>28</v>
      </c>
      <c r="M71" s="12">
        <v>29</v>
      </c>
      <c r="N71" s="12">
        <v>28</v>
      </c>
      <c r="O71" s="12">
        <v>30</v>
      </c>
      <c r="P71" s="26">
        <f t="shared" si="0"/>
        <v>28.8</v>
      </c>
      <c r="Q71" s="24"/>
      <c r="R71" s="24"/>
      <c r="S71" s="24"/>
      <c r="T71" s="24"/>
      <c r="U71" s="24"/>
      <c r="V71" s="24"/>
      <c r="W71" s="24"/>
      <c r="X71" s="24"/>
      <c r="Y71" s="24"/>
      <c r="Z71" s="24"/>
    </row>
    <row r="72" ht="14.25" customHeight="1" spans="1:26">
      <c r="A72" s="24"/>
      <c r="B72" s="24"/>
      <c r="C72" s="12">
        <v>62</v>
      </c>
      <c r="D72" s="5" t="s">
        <v>148</v>
      </c>
      <c r="E72" s="13" t="s">
        <v>149</v>
      </c>
      <c r="F72" s="12">
        <v>28</v>
      </c>
      <c r="G72" s="12">
        <v>28</v>
      </c>
      <c r="H72" s="12">
        <v>26</v>
      </c>
      <c r="I72" s="12">
        <v>26</v>
      </c>
      <c r="J72" s="12">
        <v>27</v>
      </c>
      <c r="K72" s="12">
        <v>27</v>
      </c>
      <c r="L72" s="12">
        <v>30</v>
      </c>
      <c r="M72" s="12">
        <v>29</v>
      </c>
      <c r="N72" s="12">
        <v>28</v>
      </c>
      <c r="O72" s="12">
        <v>27</v>
      </c>
      <c r="P72" s="26">
        <f t="shared" si="0"/>
        <v>27.6</v>
      </c>
      <c r="Q72" s="24"/>
      <c r="R72" s="24"/>
      <c r="S72" s="24"/>
      <c r="T72" s="24"/>
      <c r="U72" s="24"/>
      <c r="V72" s="24"/>
      <c r="W72" s="24"/>
      <c r="X72" s="24"/>
      <c r="Y72" s="24"/>
      <c r="Z72" s="24"/>
    </row>
    <row r="73" ht="14.25" customHeight="1" spans="1:26">
      <c r="A73" s="24"/>
      <c r="B73" s="24"/>
      <c r="C73" s="12">
        <v>63</v>
      </c>
      <c r="D73" s="5" t="s">
        <v>150</v>
      </c>
      <c r="E73" s="13" t="s">
        <v>151</v>
      </c>
      <c r="F73" s="12">
        <v>27</v>
      </c>
      <c r="G73" s="12">
        <v>30</v>
      </c>
      <c r="H73" s="12">
        <v>28</v>
      </c>
      <c r="I73" s="12">
        <v>30</v>
      </c>
      <c r="J73" s="12">
        <v>27</v>
      </c>
      <c r="K73" s="12">
        <v>29</v>
      </c>
      <c r="L73" s="12">
        <v>28</v>
      </c>
      <c r="M73" s="12">
        <v>30</v>
      </c>
      <c r="N73" s="12">
        <v>30</v>
      </c>
      <c r="O73" s="12">
        <v>30</v>
      </c>
      <c r="P73" s="26">
        <f t="shared" si="0"/>
        <v>28.9</v>
      </c>
      <c r="Q73" s="24"/>
      <c r="R73" s="24"/>
      <c r="S73" s="24"/>
      <c r="T73" s="24"/>
      <c r="U73" s="24"/>
      <c r="V73" s="24"/>
      <c r="W73" s="24"/>
      <c r="X73" s="24"/>
      <c r="Y73" s="24"/>
      <c r="Z73" s="24"/>
    </row>
    <row r="74" ht="14.25" customHeight="1" spans="1:26">
      <c r="A74" s="24"/>
      <c r="B74" s="24"/>
      <c r="C74" s="12">
        <v>64</v>
      </c>
      <c r="D74" s="5" t="s">
        <v>152</v>
      </c>
      <c r="E74" s="13" t="s">
        <v>153</v>
      </c>
      <c r="F74" s="12">
        <v>28</v>
      </c>
      <c r="G74" s="12">
        <v>28</v>
      </c>
      <c r="H74" s="12">
        <v>27</v>
      </c>
      <c r="I74" s="12">
        <v>30</v>
      </c>
      <c r="J74" s="12">
        <v>27</v>
      </c>
      <c r="K74" s="12">
        <v>29</v>
      </c>
      <c r="L74" s="12">
        <v>28</v>
      </c>
      <c r="M74" s="12">
        <v>30</v>
      </c>
      <c r="N74" s="12">
        <v>28</v>
      </c>
      <c r="O74" s="12">
        <v>30</v>
      </c>
      <c r="P74" s="26">
        <f t="shared" si="0"/>
        <v>28.5</v>
      </c>
      <c r="Q74" s="24"/>
      <c r="R74" s="24"/>
      <c r="S74" s="24"/>
      <c r="T74" s="24"/>
      <c r="U74" s="24"/>
      <c r="V74" s="24"/>
      <c r="W74" s="24"/>
      <c r="X74" s="24"/>
      <c r="Y74" s="24"/>
      <c r="Z74" s="24"/>
    </row>
    <row r="75" ht="14.25" customHeight="1" spans="3:20">
      <c r="C75" s="12">
        <v>65</v>
      </c>
      <c r="D75" s="5" t="s">
        <v>154</v>
      </c>
      <c r="E75" s="13" t="s">
        <v>155</v>
      </c>
      <c r="F75" s="34">
        <v>30</v>
      </c>
      <c r="G75" s="34">
        <v>30</v>
      </c>
      <c r="H75" s="34">
        <v>29</v>
      </c>
      <c r="I75" s="34">
        <v>27</v>
      </c>
      <c r="J75" s="34">
        <v>30</v>
      </c>
      <c r="K75" s="34">
        <v>30</v>
      </c>
      <c r="L75" s="34">
        <v>30</v>
      </c>
      <c r="M75" s="34">
        <v>30</v>
      </c>
      <c r="N75" s="34">
        <v>29</v>
      </c>
      <c r="O75" s="34">
        <v>30</v>
      </c>
      <c r="P75" s="26">
        <f t="shared" ref="P75:P138" si="1">AVERAGE(F75:O75)</f>
        <v>29.5</v>
      </c>
      <c r="Q75" s="27"/>
      <c r="R75" s="27"/>
      <c r="S75" s="27"/>
      <c r="T75" s="27"/>
    </row>
    <row r="76" ht="14.25" customHeight="1" spans="3:20">
      <c r="C76" s="12">
        <v>66</v>
      </c>
      <c r="D76" s="5" t="s">
        <v>156</v>
      </c>
      <c r="E76" s="13" t="s">
        <v>157</v>
      </c>
      <c r="F76" s="34">
        <v>30</v>
      </c>
      <c r="G76" s="34">
        <v>30</v>
      </c>
      <c r="H76" s="34">
        <v>30</v>
      </c>
      <c r="I76" s="34">
        <v>27</v>
      </c>
      <c r="J76" s="34">
        <v>30</v>
      </c>
      <c r="K76" s="34">
        <v>30</v>
      </c>
      <c r="L76" s="34">
        <v>30</v>
      </c>
      <c r="M76" s="34">
        <v>30</v>
      </c>
      <c r="N76" s="34">
        <v>30</v>
      </c>
      <c r="O76" s="34">
        <v>29</v>
      </c>
      <c r="P76" s="26">
        <f t="shared" si="1"/>
        <v>29.6</v>
      </c>
      <c r="Q76" s="27"/>
      <c r="R76" s="27"/>
      <c r="S76" s="27"/>
      <c r="T76" s="27"/>
    </row>
    <row r="77" ht="14.25" customHeight="1" spans="3:20">
      <c r="C77" s="12">
        <v>67</v>
      </c>
      <c r="D77" s="5" t="s">
        <v>158</v>
      </c>
      <c r="E77" s="13" t="s">
        <v>159</v>
      </c>
      <c r="F77" s="34">
        <v>30</v>
      </c>
      <c r="G77" s="34">
        <v>30</v>
      </c>
      <c r="H77" s="34">
        <v>30</v>
      </c>
      <c r="I77" s="34">
        <v>27</v>
      </c>
      <c r="J77" s="34">
        <v>30</v>
      </c>
      <c r="K77" s="34">
        <v>30</v>
      </c>
      <c r="L77" s="34">
        <v>30</v>
      </c>
      <c r="M77" s="34">
        <v>29</v>
      </c>
      <c r="N77" s="34">
        <v>29</v>
      </c>
      <c r="O77" s="34">
        <v>29</v>
      </c>
      <c r="P77" s="26">
        <f t="shared" si="1"/>
        <v>29.4</v>
      </c>
      <c r="Q77" s="27"/>
      <c r="R77" s="27"/>
      <c r="S77" s="27"/>
      <c r="T77" s="27"/>
    </row>
    <row r="78" ht="14.25" customHeight="1" spans="3:20">
      <c r="C78" s="12">
        <v>68</v>
      </c>
      <c r="D78" s="5" t="s">
        <v>160</v>
      </c>
      <c r="E78" s="13" t="s">
        <v>161</v>
      </c>
      <c r="F78" s="34">
        <v>30</v>
      </c>
      <c r="G78" s="34">
        <v>30</v>
      </c>
      <c r="H78" s="34">
        <v>29</v>
      </c>
      <c r="I78" s="34">
        <v>27</v>
      </c>
      <c r="J78" s="34">
        <v>30</v>
      </c>
      <c r="K78" s="34">
        <v>29</v>
      </c>
      <c r="L78" s="34">
        <v>29</v>
      </c>
      <c r="M78" s="34">
        <v>29</v>
      </c>
      <c r="N78" s="34">
        <v>28</v>
      </c>
      <c r="O78" s="34">
        <v>29</v>
      </c>
      <c r="P78" s="26">
        <f t="shared" si="1"/>
        <v>29</v>
      </c>
      <c r="Q78" s="27"/>
      <c r="R78" s="27"/>
      <c r="S78" s="27"/>
      <c r="T78" s="27"/>
    </row>
    <row r="79" ht="14.25" customHeight="1" spans="3:20">
      <c r="C79" s="12">
        <v>69</v>
      </c>
      <c r="D79" s="5" t="s">
        <v>162</v>
      </c>
      <c r="E79" s="13" t="s">
        <v>163</v>
      </c>
      <c r="F79" s="34">
        <v>30</v>
      </c>
      <c r="G79" s="34">
        <v>30</v>
      </c>
      <c r="H79" s="34">
        <v>30</v>
      </c>
      <c r="I79" s="34">
        <v>27</v>
      </c>
      <c r="J79" s="34">
        <v>30</v>
      </c>
      <c r="K79" s="34">
        <v>30</v>
      </c>
      <c r="L79" s="34">
        <v>30</v>
      </c>
      <c r="M79" s="34">
        <v>30</v>
      </c>
      <c r="N79" s="34">
        <v>30</v>
      </c>
      <c r="O79" s="34">
        <v>29</v>
      </c>
      <c r="P79" s="26">
        <f t="shared" si="1"/>
        <v>29.6</v>
      </c>
      <c r="Q79" s="27"/>
      <c r="R79" s="27"/>
      <c r="S79" s="27"/>
      <c r="T79" s="27"/>
    </row>
    <row r="80" ht="14.25" customHeight="1" spans="3:20">
      <c r="C80" s="12">
        <v>70</v>
      </c>
      <c r="D80" s="5" t="s">
        <v>164</v>
      </c>
      <c r="E80" s="13" t="s">
        <v>165</v>
      </c>
      <c r="F80" s="34">
        <v>30</v>
      </c>
      <c r="G80" s="34">
        <v>30</v>
      </c>
      <c r="H80" s="34">
        <v>29</v>
      </c>
      <c r="I80" s="34">
        <v>27</v>
      </c>
      <c r="J80" s="34">
        <v>30</v>
      </c>
      <c r="K80" s="34">
        <v>30</v>
      </c>
      <c r="L80" s="34">
        <v>30</v>
      </c>
      <c r="M80" s="34">
        <v>30</v>
      </c>
      <c r="N80" s="34">
        <v>29</v>
      </c>
      <c r="O80" s="34">
        <v>30</v>
      </c>
      <c r="P80" s="26">
        <f t="shared" si="1"/>
        <v>29.5</v>
      </c>
      <c r="Q80" s="27"/>
      <c r="R80" s="27"/>
      <c r="S80" s="27"/>
      <c r="T80" s="27"/>
    </row>
    <row r="81" ht="14.25" customHeight="1" spans="3:20">
      <c r="C81" s="12">
        <v>71</v>
      </c>
      <c r="D81" s="5" t="s">
        <v>166</v>
      </c>
      <c r="E81" s="13" t="s">
        <v>167</v>
      </c>
      <c r="F81" s="34">
        <v>30</v>
      </c>
      <c r="G81" s="34">
        <v>28</v>
      </c>
      <c r="H81" s="34">
        <v>28</v>
      </c>
      <c r="I81" s="34">
        <v>27</v>
      </c>
      <c r="J81" s="34">
        <v>29</v>
      </c>
      <c r="K81" s="34">
        <v>28</v>
      </c>
      <c r="L81" s="34">
        <v>28</v>
      </c>
      <c r="M81" s="34">
        <v>27</v>
      </c>
      <c r="N81" s="34">
        <v>27</v>
      </c>
      <c r="O81" s="34">
        <v>28</v>
      </c>
      <c r="P81" s="26">
        <f t="shared" si="1"/>
        <v>28</v>
      </c>
      <c r="Q81" s="27"/>
      <c r="R81" s="27"/>
      <c r="S81" s="27"/>
      <c r="T81" s="27"/>
    </row>
    <row r="82" ht="14.25" customHeight="1" spans="3:20">
      <c r="C82" s="12">
        <v>72</v>
      </c>
      <c r="D82" s="5" t="s">
        <v>168</v>
      </c>
      <c r="E82" s="13" t="s">
        <v>169</v>
      </c>
      <c r="F82" s="34">
        <v>26</v>
      </c>
      <c r="G82" s="34">
        <v>26</v>
      </c>
      <c r="H82" s="34">
        <v>26</v>
      </c>
      <c r="I82" s="34">
        <v>27</v>
      </c>
      <c r="J82" s="34">
        <v>27</v>
      </c>
      <c r="K82" s="34">
        <v>26</v>
      </c>
      <c r="L82" s="34">
        <v>26</v>
      </c>
      <c r="M82" s="34">
        <v>26</v>
      </c>
      <c r="N82" s="34">
        <v>23</v>
      </c>
      <c r="O82" s="34">
        <v>24</v>
      </c>
      <c r="P82" s="26">
        <f t="shared" si="1"/>
        <v>25.7</v>
      </c>
      <c r="Q82" s="27"/>
      <c r="R82" s="27"/>
      <c r="S82" s="27"/>
      <c r="T82" s="27"/>
    </row>
    <row r="83" ht="14.25" customHeight="1" spans="3:20">
      <c r="C83" s="12">
        <v>73</v>
      </c>
      <c r="D83" s="5" t="s">
        <v>170</v>
      </c>
      <c r="E83" s="13" t="s">
        <v>171</v>
      </c>
      <c r="F83" s="34">
        <v>30</v>
      </c>
      <c r="G83" s="34">
        <v>30</v>
      </c>
      <c r="H83" s="34">
        <v>27</v>
      </c>
      <c r="I83" s="34">
        <v>27</v>
      </c>
      <c r="J83" s="34">
        <v>30</v>
      </c>
      <c r="K83" s="34">
        <v>30</v>
      </c>
      <c r="L83" s="34">
        <v>30</v>
      </c>
      <c r="M83" s="34">
        <v>30</v>
      </c>
      <c r="N83" s="34">
        <v>30</v>
      </c>
      <c r="O83" s="34">
        <v>30</v>
      </c>
      <c r="P83" s="26">
        <f t="shared" si="1"/>
        <v>29.4</v>
      </c>
      <c r="Q83" s="27"/>
      <c r="R83" s="27"/>
      <c r="S83" s="27"/>
      <c r="T83" s="27"/>
    </row>
    <row r="84" ht="14.25" customHeight="1" spans="3:20">
      <c r="C84" s="12">
        <v>74</v>
      </c>
      <c r="D84" s="5" t="s">
        <v>172</v>
      </c>
      <c r="E84" s="13" t="s">
        <v>173</v>
      </c>
      <c r="F84" s="34">
        <v>27</v>
      </c>
      <c r="G84" s="34">
        <v>27</v>
      </c>
      <c r="H84" s="34">
        <v>26</v>
      </c>
      <c r="I84" s="34">
        <v>26</v>
      </c>
      <c r="J84" s="34">
        <v>25</v>
      </c>
      <c r="K84" s="34">
        <v>29</v>
      </c>
      <c r="L84" s="34">
        <v>29</v>
      </c>
      <c r="M84" s="34">
        <v>27</v>
      </c>
      <c r="N84" s="34">
        <v>24</v>
      </c>
      <c r="O84" s="34">
        <v>24</v>
      </c>
      <c r="P84" s="26">
        <f t="shared" si="1"/>
        <v>26.4</v>
      </c>
      <c r="Q84" s="27"/>
      <c r="R84" s="27"/>
      <c r="S84" s="27"/>
      <c r="T84" s="27"/>
    </row>
    <row r="85" ht="14.25" customHeight="1" spans="3:20">
      <c r="C85" s="12">
        <v>75</v>
      </c>
      <c r="D85" s="5" t="s">
        <v>174</v>
      </c>
      <c r="E85" s="13" t="s">
        <v>175</v>
      </c>
      <c r="F85" s="34">
        <v>27</v>
      </c>
      <c r="G85" s="34">
        <v>27</v>
      </c>
      <c r="H85" s="34">
        <v>26</v>
      </c>
      <c r="I85" s="34">
        <v>26</v>
      </c>
      <c r="J85" s="34">
        <v>27</v>
      </c>
      <c r="K85" s="34">
        <v>28</v>
      </c>
      <c r="L85" s="34">
        <v>28</v>
      </c>
      <c r="M85" s="34">
        <v>27</v>
      </c>
      <c r="N85" s="34">
        <v>23</v>
      </c>
      <c r="O85" s="34">
        <v>24</v>
      </c>
      <c r="P85" s="26">
        <f t="shared" si="1"/>
        <v>26.3</v>
      </c>
      <c r="Q85" s="27"/>
      <c r="R85" s="27"/>
      <c r="S85" s="27"/>
      <c r="T85" s="27"/>
    </row>
    <row r="86" ht="14.25" customHeight="1" spans="3:20">
      <c r="C86" s="12">
        <v>76</v>
      </c>
      <c r="D86" s="5" t="s">
        <v>176</v>
      </c>
      <c r="E86" s="13" t="s">
        <v>177</v>
      </c>
      <c r="F86" s="34">
        <v>27</v>
      </c>
      <c r="G86" s="34">
        <v>27</v>
      </c>
      <c r="H86" s="34">
        <v>26</v>
      </c>
      <c r="I86" s="34">
        <v>26</v>
      </c>
      <c r="J86" s="34">
        <v>28</v>
      </c>
      <c r="K86" s="34">
        <v>27</v>
      </c>
      <c r="L86" s="34">
        <v>27</v>
      </c>
      <c r="M86" s="34">
        <v>27</v>
      </c>
      <c r="N86" s="34">
        <v>26</v>
      </c>
      <c r="O86" s="34">
        <v>23</v>
      </c>
      <c r="P86" s="26">
        <f t="shared" si="1"/>
        <v>26.4</v>
      </c>
      <c r="Q86" s="27"/>
      <c r="R86" s="27"/>
      <c r="S86" s="27"/>
      <c r="T86" s="27"/>
    </row>
    <row r="87" ht="14.25" customHeight="1" spans="3:20">
      <c r="C87" s="12">
        <v>77</v>
      </c>
      <c r="D87" s="5" t="s">
        <v>178</v>
      </c>
      <c r="E87" s="13" t="s">
        <v>179</v>
      </c>
      <c r="F87" s="34">
        <v>30</v>
      </c>
      <c r="G87" s="34">
        <v>30</v>
      </c>
      <c r="H87" s="34">
        <v>30</v>
      </c>
      <c r="I87" s="34">
        <v>27</v>
      </c>
      <c r="J87" s="34">
        <v>30</v>
      </c>
      <c r="K87" s="34">
        <v>30</v>
      </c>
      <c r="L87" s="34">
        <v>29</v>
      </c>
      <c r="M87" s="34">
        <v>29</v>
      </c>
      <c r="N87" s="34">
        <v>30</v>
      </c>
      <c r="O87" s="34">
        <v>29</v>
      </c>
      <c r="P87" s="26">
        <f t="shared" si="1"/>
        <v>29.4</v>
      </c>
      <c r="Q87" s="27"/>
      <c r="R87" s="27"/>
      <c r="S87" s="27"/>
      <c r="T87" s="27"/>
    </row>
    <row r="88" ht="14.25" customHeight="1" spans="3:20">
      <c r="C88" s="12">
        <v>78</v>
      </c>
      <c r="D88" s="5" t="s">
        <v>180</v>
      </c>
      <c r="E88" s="13" t="s">
        <v>181</v>
      </c>
      <c r="F88" s="34">
        <v>29</v>
      </c>
      <c r="G88" s="34">
        <v>26</v>
      </c>
      <c r="H88" s="34">
        <v>29</v>
      </c>
      <c r="I88" s="34">
        <v>27</v>
      </c>
      <c r="J88" s="34">
        <v>30</v>
      </c>
      <c r="K88" s="34">
        <v>30</v>
      </c>
      <c r="L88" s="34">
        <v>30</v>
      </c>
      <c r="M88" s="34">
        <v>30</v>
      </c>
      <c r="N88" s="34">
        <v>26</v>
      </c>
      <c r="O88" s="34">
        <v>26</v>
      </c>
      <c r="P88" s="26">
        <f t="shared" si="1"/>
        <v>28.3</v>
      </c>
      <c r="Q88" s="27"/>
      <c r="R88" s="27"/>
      <c r="S88" s="27"/>
      <c r="T88" s="27"/>
    </row>
    <row r="89" ht="14.25" customHeight="1" spans="3:20">
      <c r="C89" s="12">
        <v>79</v>
      </c>
      <c r="D89" s="5" t="s">
        <v>182</v>
      </c>
      <c r="E89" s="13" t="s">
        <v>183</v>
      </c>
      <c r="F89" s="34">
        <v>28</v>
      </c>
      <c r="G89" s="34">
        <v>27</v>
      </c>
      <c r="H89" s="34">
        <v>27</v>
      </c>
      <c r="I89" s="34">
        <v>28</v>
      </c>
      <c r="J89" s="34">
        <v>28</v>
      </c>
      <c r="K89" s="34">
        <v>27</v>
      </c>
      <c r="L89" s="34">
        <v>27</v>
      </c>
      <c r="M89" s="34">
        <v>28</v>
      </c>
      <c r="N89" s="34">
        <v>26</v>
      </c>
      <c r="O89" s="34">
        <v>25</v>
      </c>
      <c r="P89" s="26">
        <f t="shared" si="1"/>
        <v>27.1</v>
      </c>
      <c r="Q89" s="27"/>
      <c r="R89" s="27"/>
      <c r="S89" s="27"/>
      <c r="T89" s="27"/>
    </row>
    <row r="90" ht="14.25" customHeight="1" spans="3:20">
      <c r="C90" s="12">
        <v>80</v>
      </c>
      <c r="D90" s="5" t="s">
        <v>184</v>
      </c>
      <c r="E90" s="13" t="s">
        <v>185</v>
      </c>
      <c r="F90" s="34">
        <v>28</v>
      </c>
      <c r="G90" s="34">
        <v>29</v>
      </c>
      <c r="H90" s="34">
        <v>29</v>
      </c>
      <c r="I90" s="34">
        <v>27</v>
      </c>
      <c r="J90" s="34">
        <v>28</v>
      </c>
      <c r="K90" s="34">
        <v>29</v>
      </c>
      <c r="L90" s="34">
        <v>29</v>
      </c>
      <c r="M90" s="34">
        <v>27</v>
      </c>
      <c r="N90" s="34">
        <v>28</v>
      </c>
      <c r="O90" s="34">
        <v>29</v>
      </c>
      <c r="P90" s="26">
        <f t="shared" si="1"/>
        <v>28.3</v>
      </c>
      <c r="Q90" s="27"/>
      <c r="R90" s="27"/>
      <c r="S90" s="27"/>
      <c r="T90" s="27"/>
    </row>
    <row r="91" ht="14.25" customHeight="1" spans="3:20">
      <c r="C91" s="12">
        <v>81</v>
      </c>
      <c r="D91" s="5" t="s">
        <v>186</v>
      </c>
      <c r="E91" s="13" t="s">
        <v>187</v>
      </c>
      <c r="F91" s="34"/>
      <c r="G91" s="34"/>
      <c r="H91" s="34"/>
      <c r="I91" s="34"/>
      <c r="J91" s="34"/>
      <c r="K91" s="34"/>
      <c r="L91" s="34"/>
      <c r="M91" s="34"/>
      <c r="N91" s="34">
        <v>26</v>
      </c>
      <c r="O91" s="34">
        <v>27</v>
      </c>
      <c r="P91" s="26">
        <f t="shared" si="1"/>
        <v>26.5</v>
      </c>
      <c r="Q91" s="27"/>
      <c r="R91" s="27"/>
      <c r="S91" s="27"/>
      <c r="T91" s="27"/>
    </row>
    <row r="92" ht="14.25" customHeight="1" spans="3:20">
      <c r="C92" s="12">
        <v>82</v>
      </c>
      <c r="D92" s="5" t="s">
        <v>188</v>
      </c>
      <c r="E92" s="13" t="s">
        <v>189</v>
      </c>
      <c r="F92" s="34">
        <v>29</v>
      </c>
      <c r="G92" s="34">
        <v>29</v>
      </c>
      <c r="H92" s="34">
        <v>30</v>
      </c>
      <c r="I92" s="34">
        <v>27</v>
      </c>
      <c r="J92" s="34">
        <v>29</v>
      </c>
      <c r="K92" s="34">
        <v>29</v>
      </c>
      <c r="L92" s="34">
        <v>30</v>
      </c>
      <c r="M92" s="34">
        <v>27</v>
      </c>
      <c r="N92" s="34">
        <v>25</v>
      </c>
      <c r="O92" s="34">
        <v>25</v>
      </c>
      <c r="P92" s="26">
        <f t="shared" si="1"/>
        <v>28</v>
      </c>
      <c r="Q92" s="27"/>
      <c r="R92" s="27"/>
      <c r="S92" s="27"/>
      <c r="T92" s="27"/>
    </row>
    <row r="93" ht="14.25" customHeight="1" spans="3:20">
      <c r="C93" s="12">
        <v>83</v>
      </c>
      <c r="D93" s="5" t="s">
        <v>190</v>
      </c>
      <c r="E93" s="13" t="s">
        <v>191</v>
      </c>
      <c r="F93" s="34">
        <v>30</v>
      </c>
      <c r="G93" s="34">
        <v>30</v>
      </c>
      <c r="H93" s="34">
        <v>30</v>
      </c>
      <c r="I93" s="34">
        <v>27</v>
      </c>
      <c r="J93" s="34">
        <v>30</v>
      </c>
      <c r="K93" s="34">
        <v>30</v>
      </c>
      <c r="L93" s="34">
        <v>30</v>
      </c>
      <c r="M93" s="34">
        <v>27</v>
      </c>
      <c r="N93" s="34">
        <v>30</v>
      </c>
      <c r="O93" s="34">
        <v>29</v>
      </c>
      <c r="P93" s="26">
        <f t="shared" si="1"/>
        <v>29.3</v>
      </c>
      <c r="Q93" s="27"/>
      <c r="R93" s="27"/>
      <c r="S93" s="27"/>
      <c r="T93" s="27"/>
    </row>
    <row r="94" ht="14.25" customHeight="1" spans="3:20">
      <c r="C94" s="12">
        <v>84</v>
      </c>
      <c r="D94" s="5" t="s">
        <v>192</v>
      </c>
      <c r="E94" s="13" t="s">
        <v>193</v>
      </c>
      <c r="F94" s="34">
        <v>28</v>
      </c>
      <c r="G94" s="34">
        <v>27</v>
      </c>
      <c r="H94" s="34">
        <v>27</v>
      </c>
      <c r="I94" s="34">
        <v>28</v>
      </c>
      <c r="J94" s="34">
        <v>28</v>
      </c>
      <c r="K94" s="34">
        <v>27</v>
      </c>
      <c r="L94" s="34">
        <v>27</v>
      </c>
      <c r="M94" s="34">
        <v>28</v>
      </c>
      <c r="N94" s="34">
        <v>24</v>
      </c>
      <c r="O94" s="34">
        <v>24</v>
      </c>
      <c r="P94" s="26">
        <f t="shared" si="1"/>
        <v>26.8</v>
      </c>
      <c r="Q94" s="27"/>
      <c r="R94" s="27"/>
      <c r="S94" s="27"/>
      <c r="T94" s="27"/>
    </row>
    <row r="95" spans="3:20">
      <c r="C95" s="12">
        <v>85</v>
      </c>
      <c r="D95" s="5" t="s">
        <v>194</v>
      </c>
      <c r="E95" s="13" t="s">
        <v>195</v>
      </c>
      <c r="F95" s="34">
        <v>27</v>
      </c>
      <c r="G95" s="34">
        <v>27</v>
      </c>
      <c r="H95" s="34">
        <v>26</v>
      </c>
      <c r="I95" s="34">
        <v>26</v>
      </c>
      <c r="J95" s="34">
        <v>27</v>
      </c>
      <c r="K95" s="34">
        <v>27</v>
      </c>
      <c r="L95" s="34">
        <v>26</v>
      </c>
      <c r="M95" s="34">
        <v>26</v>
      </c>
      <c r="N95" s="34">
        <v>26</v>
      </c>
      <c r="O95" s="34">
        <v>25</v>
      </c>
      <c r="P95" s="26">
        <f t="shared" si="1"/>
        <v>26.3</v>
      </c>
      <c r="Q95" s="27"/>
      <c r="R95" s="27"/>
      <c r="S95" s="27"/>
      <c r="T95" s="27"/>
    </row>
    <row r="96" ht="14.25" customHeight="1" spans="3:20">
      <c r="C96" s="12">
        <v>86</v>
      </c>
      <c r="D96" s="5" t="s">
        <v>196</v>
      </c>
      <c r="E96" s="13" t="s">
        <v>197</v>
      </c>
      <c r="F96" s="34">
        <v>28</v>
      </c>
      <c r="G96" s="34">
        <v>28</v>
      </c>
      <c r="H96" s="34">
        <v>26</v>
      </c>
      <c r="I96" s="34">
        <v>26</v>
      </c>
      <c r="J96" s="34">
        <v>26</v>
      </c>
      <c r="K96" s="34">
        <v>28</v>
      </c>
      <c r="L96" s="34">
        <v>30</v>
      </c>
      <c r="M96" s="34">
        <v>30</v>
      </c>
      <c r="N96" s="34">
        <v>30</v>
      </c>
      <c r="O96" s="34">
        <v>30</v>
      </c>
      <c r="P96" s="26">
        <f t="shared" si="1"/>
        <v>28.2</v>
      </c>
      <c r="Q96" s="27"/>
      <c r="R96" s="27"/>
      <c r="S96" s="27"/>
      <c r="T96" s="27"/>
    </row>
    <row r="97" ht="14.25" customHeight="1" spans="3:20">
      <c r="C97" s="12">
        <v>87</v>
      </c>
      <c r="D97" s="5" t="s">
        <v>198</v>
      </c>
      <c r="E97" s="13" t="s">
        <v>199</v>
      </c>
      <c r="F97" s="34">
        <v>28</v>
      </c>
      <c r="G97" s="34">
        <v>28</v>
      </c>
      <c r="H97" s="34">
        <v>26</v>
      </c>
      <c r="I97" s="34">
        <v>26</v>
      </c>
      <c r="J97" s="34">
        <v>28</v>
      </c>
      <c r="K97" s="34">
        <v>28</v>
      </c>
      <c r="L97" s="34">
        <v>30</v>
      </c>
      <c r="M97" s="34">
        <v>30</v>
      </c>
      <c r="N97" s="34">
        <v>30</v>
      </c>
      <c r="O97" s="34">
        <v>30</v>
      </c>
      <c r="P97" s="26">
        <f t="shared" si="1"/>
        <v>28.4</v>
      </c>
      <c r="Q97" s="27"/>
      <c r="R97" s="27"/>
      <c r="S97" s="27"/>
      <c r="T97" s="27"/>
    </row>
    <row r="98" ht="14.25" customHeight="1" spans="3:20">
      <c r="C98" s="12">
        <v>88</v>
      </c>
      <c r="D98" s="5" t="s">
        <v>200</v>
      </c>
      <c r="E98" s="13" t="s">
        <v>201</v>
      </c>
      <c r="F98" s="34">
        <v>29</v>
      </c>
      <c r="G98" s="34">
        <v>29</v>
      </c>
      <c r="H98" s="34">
        <v>30</v>
      </c>
      <c r="I98" s="34">
        <v>27</v>
      </c>
      <c r="J98" s="34">
        <v>28</v>
      </c>
      <c r="K98" s="34">
        <v>28</v>
      </c>
      <c r="L98" s="34">
        <v>30</v>
      </c>
      <c r="M98" s="34">
        <v>30</v>
      </c>
      <c r="N98" s="34">
        <v>30</v>
      </c>
      <c r="O98" s="34">
        <v>30</v>
      </c>
      <c r="P98" s="26">
        <f t="shared" si="1"/>
        <v>29.1</v>
      </c>
      <c r="Q98" s="27"/>
      <c r="R98" s="27"/>
      <c r="S98" s="27"/>
      <c r="T98" s="27"/>
    </row>
    <row r="99" ht="14.25" customHeight="1" spans="3:20">
      <c r="C99" s="12">
        <v>89</v>
      </c>
      <c r="D99" s="5" t="s">
        <v>202</v>
      </c>
      <c r="E99" s="13" t="s">
        <v>203</v>
      </c>
      <c r="F99" s="34">
        <v>29</v>
      </c>
      <c r="G99" s="34">
        <v>29</v>
      </c>
      <c r="H99" s="34">
        <v>28</v>
      </c>
      <c r="I99" s="34">
        <v>27</v>
      </c>
      <c r="J99" s="34">
        <v>28</v>
      </c>
      <c r="K99" s="34">
        <v>28</v>
      </c>
      <c r="L99" s="34">
        <v>30</v>
      </c>
      <c r="M99" s="34">
        <v>30</v>
      </c>
      <c r="N99" s="34">
        <v>30</v>
      </c>
      <c r="O99" s="34">
        <v>30</v>
      </c>
      <c r="P99" s="26">
        <f t="shared" si="1"/>
        <v>28.9</v>
      </c>
      <c r="Q99" s="27"/>
      <c r="R99" s="27"/>
      <c r="S99" s="27"/>
      <c r="T99" s="27"/>
    </row>
    <row r="100" ht="14.25" customHeight="1" spans="3:20">
      <c r="C100" s="12">
        <v>90</v>
      </c>
      <c r="D100" s="5" t="s">
        <v>204</v>
      </c>
      <c r="E100" s="13" t="s">
        <v>205</v>
      </c>
      <c r="F100" s="34">
        <v>29</v>
      </c>
      <c r="G100" s="34">
        <v>29</v>
      </c>
      <c r="H100" s="34">
        <v>28</v>
      </c>
      <c r="I100" s="34">
        <v>27</v>
      </c>
      <c r="J100" s="34">
        <v>28</v>
      </c>
      <c r="K100" s="34">
        <v>28</v>
      </c>
      <c r="L100" s="34">
        <v>30</v>
      </c>
      <c r="M100" s="34">
        <v>30</v>
      </c>
      <c r="N100" s="34">
        <v>30</v>
      </c>
      <c r="O100" s="34">
        <v>30</v>
      </c>
      <c r="P100" s="26">
        <f t="shared" si="1"/>
        <v>28.9</v>
      </c>
      <c r="Q100" s="27"/>
      <c r="R100" s="27"/>
      <c r="S100" s="27"/>
      <c r="T100" s="27"/>
    </row>
    <row r="101" ht="14.25" customHeight="1" spans="3:20">
      <c r="C101" s="12">
        <v>91</v>
      </c>
      <c r="D101" s="5" t="s">
        <v>206</v>
      </c>
      <c r="E101" s="13" t="s">
        <v>207</v>
      </c>
      <c r="F101" s="34">
        <v>27</v>
      </c>
      <c r="G101" s="34">
        <v>29</v>
      </c>
      <c r="H101" s="34">
        <v>28</v>
      </c>
      <c r="I101" s="34">
        <v>27</v>
      </c>
      <c r="J101" s="34">
        <v>28</v>
      </c>
      <c r="K101" s="34">
        <v>28</v>
      </c>
      <c r="L101" s="34">
        <v>30</v>
      </c>
      <c r="M101" s="34">
        <v>30</v>
      </c>
      <c r="N101" s="34">
        <v>30</v>
      </c>
      <c r="O101" s="34">
        <v>30</v>
      </c>
      <c r="P101" s="26">
        <f t="shared" si="1"/>
        <v>28.7</v>
      </c>
      <c r="Q101" s="27"/>
      <c r="R101" s="27"/>
      <c r="S101" s="27"/>
      <c r="T101" s="27"/>
    </row>
    <row r="102" ht="14.25" customHeight="1" spans="3:20">
      <c r="C102" s="12">
        <v>92</v>
      </c>
      <c r="D102" s="5" t="s">
        <v>208</v>
      </c>
      <c r="E102" s="13" t="s">
        <v>209</v>
      </c>
      <c r="F102" s="34">
        <v>30</v>
      </c>
      <c r="G102" s="34">
        <v>30</v>
      </c>
      <c r="H102" s="34">
        <v>29</v>
      </c>
      <c r="I102" s="34">
        <v>29</v>
      </c>
      <c r="J102" s="34">
        <v>28</v>
      </c>
      <c r="K102" s="34">
        <v>28</v>
      </c>
      <c r="L102" s="34">
        <v>30</v>
      </c>
      <c r="M102" s="34">
        <v>30</v>
      </c>
      <c r="N102" s="34">
        <v>30</v>
      </c>
      <c r="O102" s="34">
        <v>30</v>
      </c>
      <c r="P102" s="26">
        <f t="shared" si="1"/>
        <v>29.4</v>
      </c>
      <c r="Q102" s="27"/>
      <c r="R102" s="27"/>
      <c r="S102" s="27"/>
      <c r="T102" s="27"/>
    </row>
    <row r="103" ht="14.25" customHeight="1" spans="3:20">
      <c r="C103" s="12">
        <v>93</v>
      </c>
      <c r="D103" s="5" t="s">
        <v>210</v>
      </c>
      <c r="E103" s="13" t="s">
        <v>211</v>
      </c>
      <c r="F103" s="34"/>
      <c r="G103" s="34"/>
      <c r="H103" s="34"/>
      <c r="I103" s="34"/>
      <c r="J103" s="34"/>
      <c r="K103" s="34"/>
      <c r="L103" s="34"/>
      <c r="M103" s="34"/>
      <c r="N103" s="34"/>
      <c r="O103" s="34"/>
      <c r="P103" s="26" t="e">
        <f t="shared" si="1"/>
        <v>#DIV/0!</v>
      </c>
      <c r="Q103" s="27"/>
      <c r="R103" s="27"/>
      <c r="S103" s="27"/>
      <c r="T103" s="27"/>
    </row>
    <row r="104" ht="14.25" customHeight="1" spans="3:20">
      <c r="C104" s="12">
        <v>94</v>
      </c>
      <c r="D104" s="5" t="s">
        <v>212</v>
      </c>
      <c r="E104" s="13" t="s">
        <v>213</v>
      </c>
      <c r="F104" s="34">
        <v>30</v>
      </c>
      <c r="G104" s="34">
        <v>30</v>
      </c>
      <c r="H104" s="34">
        <v>30</v>
      </c>
      <c r="I104" s="34">
        <v>30</v>
      </c>
      <c r="J104" s="34">
        <v>28</v>
      </c>
      <c r="K104" s="34">
        <v>28</v>
      </c>
      <c r="L104" s="34">
        <v>30</v>
      </c>
      <c r="M104" s="34">
        <v>30</v>
      </c>
      <c r="N104" s="34">
        <v>30</v>
      </c>
      <c r="O104" s="34">
        <v>30</v>
      </c>
      <c r="P104" s="26">
        <f t="shared" si="1"/>
        <v>29.6</v>
      </c>
      <c r="Q104" s="27"/>
      <c r="R104" s="27"/>
      <c r="S104" s="27"/>
      <c r="T104" s="27"/>
    </row>
    <row r="105" ht="14.25" customHeight="1" spans="3:20">
      <c r="C105" s="12">
        <v>95</v>
      </c>
      <c r="D105" s="5" t="s">
        <v>214</v>
      </c>
      <c r="E105" s="13" t="s">
        <v>215</v>
      </c>
      <c r="F105" s="34">
        <v>30</v>
      </c>
      <c r="G105" s="34">
        <v>30</v>
      </c>
      <c r="H105" s="34">
        <v>30</v>
      </c>
      <c r="I105" s="34">
        <v>30</v>
      </c>
      <c r="J105" s="34">
        <v>28</v>
      </c>
      <c r="K105" s="34">
        <v>28</v>
      </c>
      <c r="L105" s="34">
        <v>30</v>
      </c>
      <c r="M105" s="34">
        <v>30</v>
      </c>
      <c r="N105" s="34">
        <v>30</v>
      </c>
      <c r="O105" s="34">
        <v>30</v>
      </c>
      <c r="P105" s="26">
        <f t="shared" si="1"/>
        <v>29.6</v>
      </c>
      <c r="Q105" s="27"/>
      <c r="R105" s="27"/>
      <c r="S105" s="27"/>
      <c r="T105" s="27"/>
    </row>
    <row r="106" ht="14.25" customHeight="1" spans="3:20">
      <c r="C106" s="12">
        <v>96</v>
      </c>
      <c r="D106" s="5" t="s">
        <v>216</v>
      </c>
      <c r="E106" s="13" t="s">
        <v>217</v>
      </c>
      <c r="F106" s="34">
        <v>30</v>
      </c>
      <c r="G106" s="34">
        <v>30</v>
      </c>
      <c r="H106" s="34">
        <v>30</v>
      </c>
      <c r="I106" s="34">
        <v>30</v>
      </c>
      <c r="J106" s="34">
        <v>28</v>
      </c>
      <c r="K106" s="34">
        <v>28</v>
      </c>
      <c r="L106" s="34">
        <v>30</v>
      </c>
      <c r="M106" s="34">
        <v>30</v>
      </c>
      <c r="N106" s="34">
        <v>30</v>
      </c>
      <c r="O106" s="34">
        <v>30</v>
      </c>
      <c r="P106" s="26">
        <f t="shared" si="1"/>
        <v>29.6</v>
      </c>
      <c r="Q106" s="27"/>
      <c r="R106" s="27"/>
      <c r="S106" s="27"/>
      <c r="T106" s="27"/>
    </row>
    <row r="107" ht="14.25" customHeight="1" spans="3:20">
      <c r="C107" s="12">
        <v>97</v>
      </c>
      <c r="D107" s="5" t="s">
        <v>218</v>
      </c>
      <c r="E107" s="13" t="s">
        <v>219</v>
      </c>
      <c r="F107" s="34">
        <v>30</v>
      </c>
      <c r="G107" s="34">
        <v>30</v>
      </c>
      <c r="H107" s="34">
        <v>30</v>
      </c>
      <c r="I107" s="34">
        <v>30</v>
      </c>
      <c r="J107" s="34">
        <v>28</v>
      </c>
      <c r="K107" s="34">
        <v>28</v>
      </c>
      <c r="L107" s="34">
        <v>30</v>
      </c>
      <c r="M107" s="34">
        <v>30</v>
      </c>
      <c r="N107" s="34">
        <v>30</v>
      </c>
      <c r="O107" s="34">
        <v>30</v>
      </c>
      <c r="P107" s="26">
        <f t="shared" si="1"/>
        <v>29.6</v>
      </c>
      <c r="Q107" s="27"/>
      <c r="R107" s="27"/>
      <c r="S107" s="27"/>
      <c r="T107" s="27"/>
    </row>
    <row r="108" ht="14.25" customHeight="1" spans="3:20">
      <c r="C108" s="12">
        <v>98</v>
      </c>
      <c r="D108" s="5" t="s">
        <v>220</v>
      </c>
      <c r="E108" s="13" t="s">
        <v>221</v>
      </c>
      <c r="F108" s="34">
        <v>30</v>
      </c>
      <c r="G108" s="34">
        <v>30</v>
      </c>
      <c r="H108" s="34">
        <v>30</v>
      </c>
      <c r="I108" s="34">
        <v>30</v>
      </c>
      <c r="J108" s="34">
        <v>28</v>
      </c>
      <c r="K108" s="34">
        <v>28</v>
      </c>
      <c r="L108" s="34">
        <v>30</v>
      </c>
      <c r="M108" s="34">
        <v>30</v>
      </c>
      <c r="N108" s="34">
        <v>30</v>
      </c>
      <c r="O108" s="34">
        <v>30</v>
      </c>
      <c r="P108" s="26">
        <f t="shared" si="1"/>
        <v>29.6</v>
      </c>
      <c r="Q108" s="27"/>
      <c r="R108" s="27"/>
      <c r="S108" s="27"/>
      <c r="T108" s="27"/>
    </row>
    <row r="109" ht="14.25" customHeight="1" spans="3:20">
      <c r="C109" s="12">
        <v>99</v>
      </c>
      <c r="D109" s="5" t="s">
        <v>222</v>
      </c>
      <c r="E109" s="13" t="s">
        <v>223</v>
      </c>
      <c r="F109" s="34">
        <v>30</v>
      </c>
      <c r="G109" s="34">
        <v>30</v>
      </c>
      <c r="H109" s="34">
        <v>30</v>
      </c>
      <c r="I109" s="34">
        <v>30</v>
      </c>
      <c r="J109" s="34">
        <v>28</v>
      </c>
      <c r="K109" s="34">
        <v>28</v>
      </c>
      <c r="L109" s="34">
        <v>30</v>
      </c>
      <c r="M109" s="34">
        <v>30</v>
      </c>
      <c r="N109" s="34">
        <v>30</v>
      </c>
      <c r="O109" s="34">
        <v>30</v>
      </c>
      <c r="P109" s="26">
        <f t="shared" si="1"/>
        <v>29.6</v>
      </c>
      <c r="Q109" s="27"/>
      <c r="R109" s="27"/>
      <c r="S109" s="27"/>
      <c r="T109" s="27"/>
    </row>
    <row r="110" ht="14.25" customHeight="1" spans="3:20">
      <c r="C110" s="12">
        <v>100</v>
      </c>
      <c r="D110" s="5" t="s">
        <v>224</v>
      </c>
      <c r="E110" s="13" t="s">
        <v>225</v>
      </c>
      <c r="F110" s="34">
        <v>30</v>
      </c>
      <c r="G110" s="34">
        <v>30</v>
      </c>
      <c r="H110" s="34">
        <v>30</v>
      </c>
      <c r="I110" s="34">
        <v>30</v>
      </c>
      <c r="J110" s="34">
        <v>30</v>
      </c>
      <c r="K110" s="34">
        <v>30</v>
      </c>
      <c r="L110" s="34">
        <v>28</v>
      </c>
      <c r="M110" s="34">
        <v>28</v>
      </c>
      <c r="N110" s="34">
        <v>30</v>
      </c>
      <c r="O110" s="34">
        <v>30</v>
      </c>
      <c r="P110" s="26">
        <f t="shared" si="1"/>
        <v>29.6</v>
      </c>
      <c r="Q110" s="27"/>
      <c r="R110" s="27"/>
      <c r="S110" s="27"/>
      <c r="T110" s="27"/>
    </row>
    <row r="111" ht="14.25" customHeight="1" spans="3:20">
      <c r="C111" s="12">
        <v>101</v>
      </c>
      <c r="D111" s="5" t="s">
        <v>226</v>
      </c>
      <c r="E111" s="13" t="s">
        <v>227</v>
      </c>
      <c r="F111" s="34">
        <v>30</v>
      </c>
      <c r="G111" s="34">
        <v>30</v>
      </c>
      <c r="H111" s="34">
        <v>30</v>
      </c>
      <c r="I111" s="34">
        <v>30</v>
      </c>
      <c r="J111" s="34">
        <v>30</v>
      </c>
      <c r="K111" s="34">
        <v>30</v>
      </c>
      <c r="L111" s="34">
        <v>28</v>
      </c>
      <c r="M111" s="34">
        <v>30</v>
      </c>
      <c r="N111" s="34">
        <v>30</v>
      </c>
      <c r="O111" s="34">
        <v>30</v>
      </c>
      <c r="P111" s="26">
        <f t="shared" si="1"/>
        <v>29.8</v>
      </c>
      <c r="Q111" s="27"/>
      <c r="R111" s="27"/>
      <c r="S111" s="27"/>
      <c r="T111" s="27"/>
    </row>
    <row r="112" ht="14.25" customHeight="1" spans="3:20">
      <c r="C112" s="12">
        <v>102</v>
      </c>
      <c r="D112" s="5" t="s">
        <v>228</v>
      </c>
      <c r="E112" s="13" t="s">
        <v>229</v>
      </c>
      <c r="F112" s="34">
        <v>28</v>
      </c>
      <c r="G112" s="34">
        <v>30</v>
      </c>
      <c r="H112" s="34">
        <v>28</v>
      </c>
      <c r="I112" s="34">
        <v>30</v>
      </c>
      <c r="J112" s="34">
        <v>30</v>
      </c>
      <c r="K112" s="34">
        <v>30</v>
      </c>
      <c r="L112" s="34">
        <v>28</v>
      </c>
      <c r="M112" s="34">
        <v>28</v>
      </c>
      <c r="N112" s="34">
        <v>30</v>
      </c>
      <c r="O112" s="34">
        <v>30</v>
      </c>
      <c r="P112" s="26">
        <f t="shared" si="1"/>
        <v>29.2</v>
      </c>
      <c r="Q112" s="27"/>
      <c r="R112" s="27"/>
      <c r="S112" s="27"/>
      <c r="T112" s="27"/>
    </row>
    <row r="113" ht="14.25" customHeight="1" spans="3:20">
      <c r="C113" s="12">
        <v>103</v>
      </c>
      <c r="D113" s="5" t="s">
        <v>230</v>
      </c>
      <c r="E113" s="13" t="s">
        <v>231</v>
      </c>
      <c r="F113" s="34">
        <v>30</v>
      </c>
      <c r="G113" s="34">
        <v>30</v>
      </c>
      <c r="H113" s="34">
        <v>30</v>
      </c>
      <c r="I113" s="34">
        <v>30</v>
      </c>
      <c r="J113" s="34">
        <v>28</v>
      </c>
      <c r="K113" s="34">
        <v>28</v>
      </c>
      <c r="L113" s="34">
        <v>28</v>
      </c>
      <c r="M113" s="34">
        <v>30</v>
      </c>
      <c r="N113" s="34">
        <v>30</v>
      </c>
      <c r="O113" s="34">
        <v>30</v>
      </c>
      <c r="P113" s="26">
        <f t="shared" si="1"/>
        <v>29.4</v>
      </c>
      <c r="Q113" s="27"/>
      <c r="R113" s="27"/>
      <c r="S113" s="27"/>
      <c r="T113" s="27"/>
    </row>
    <row r="114" ht="14.25" customHeight="1" spans="3:20">
      <c r="C114" s="12">
        <v>104</v>
      </c>
      <c r="D114" s="5" t="s">
        <v>232</v>
      </c>
      <c r="E114" s="13" t="s">
        <v>233</v>
      </c>
      <c r="F114" s="34">
        <v>30</v>
      </c>
      <c r="G114" s="34">
        <v>30</v>
      </c>
      <c r="H114" s="34">
        <v>30</v>
      </c>
      <c r="I114" s="34">
        <v>30</v>
      </c>
      <c r="J114" s="34">
        <v>28</v>
      </c>
      <c r="K114" s="34">
        <v>28</v>
      </c>
      <c r="L114" s="34">
        <v>28</v>
      </c>
      <c r="M114" s="34">
        <v>30</v>
      </c>
      <c r="N114" s="34">
        <v>30</v>
      </c>
      <c r="O114" s="34">
        <v>30</v>
      </c>
      <c r="P114" s="26">
        <f t="shared" si="1"/>
        <v>29.4</v>
      </c>
      <c r="Q114" s="27"/>
      <c r="R114" s="27"/>
      <c r="S114" s="27"/>
      <c r="T114" s="27"/>
    </row>
    <row r="115" ht="14.25" customHeight="1" spans="3:20">
      <c r="C115" s="12">
        <v>105</v>
      </c>
      <c r="D115" s="5" t="s">
        <v>234</v>
      </c>
      <c r="E115" s="13" t="s">
        <v>235</v>
      </c>
      <c r="F115" s="34">
        <v>30</v>
      </c>
      <c r="G115" s="34">
        <v>30</v>
      </c>
      <c r="H115" s="34">
        <v>30</v>
      </c>
      <c r="I115" s="34">
        <v>30</v>
      </c>
      <c r="J115" s="34">
        <v>28</v>
      </c>
      <c r="K115" s="34">
        <v>28</v>
      </c>
      <c r="L115" s="34">
        <v>28</v>
      </c>
      <c r="M115" s="34">
        <v>30</v>
      </c>
      <c r="N115" s="34">
        <v>30</v>
      </c>
      <c r="O115" s="34">
        <v>30</v>
      </c>
      <c r="P115" s="26">
        <f t="shared" si="1"/>
        <v>29.4</v>
      </c>
      <c r="Q115" s="27"/>
      <c r="R115" s="27"/>
      <c r="S115" s="27"/>
      <c r="T115" s="27"/>
    </row>
    <row r="116" ht="14.25" customHeight="1" spans="3:20">
      <c r="C116" s="12">
        <v>106</v>
      </c>
      <c r="D116" s="5" t="s">
        <v>236</v>
      </c>
      <c r="E116" s="13" t="s">
        <v>237</v>
      </c>
      <c r="F116" s="34">
        <v>30</v>
      </c>
      <c r="G116" s="34">
        <v>30</v>
      </c>
      <c r="H116" s="34">
        <v>30</v>
      </c>
      <c r="I116" s="34">
        <v>30</v>
      </c>
      <c r="J116" s="34">
        <v>28</v>
      </c>
      <c r="K116" s="34">
        <v>28</v>
      </c>
      <c r="L116" s="34">
        <v>28</v>
      </c>
      <c r="M116" s="34">
        <v>30</v>
      </c>
      <c r="N116" s="34">
        <v>30</v>
      </c>
      <c r="O116" s="34">
        <v>30</v>
      </c>
      <c r="P116" s="26">
        <f t="shared" si="1"/>
        <v>29.4</v>
      </c>
      <c r="Q116" s="27"/>
      <c r="R116" s="27"/>
      <c r="S116" s="27"/>
      <c r="T116" s="27"/>
    </row>
    <row r="117" ht="14.25" customHeight="1" spans="3:20">
      <c r="C117" s="12">
        <v>107</v>
      </c>
      <c r="D117" s="5" t="s">
        <v>238</v>
      </c>
      <c r="E117" s="13" t="s">
        <v>239</v>
      </c>
      <c r="F117" s="34">
        <v>30</v>
      </c>
      <c r="G117" s="34">
        <v>30</v>
      </c>
      <c r="H117" s="34">
        <v>30</v>
      </c>
      <c r="I117" s="34">
        <v>30</v>
      </c>
      <c r="J117" s="34">
        <v>30</v>
      </c>
      <c r="K117" s="34">
        <v>30</v>
      </c>
      <c r="L117" s="34">
        <v>30</v>
      </c>
      <c r="M117" s="34">
        <v>30</v>
      </c>
      <c r="N117" s="34">
        <v>30</v>
      </c>
      <c r="O117" s="34">
        <v>30</v>
      </c>
      <c r="P117" s="26">
        <f t="shared" si="1"/>
        <v>30</v>
      </c>
      <c r="Q117" s="27"/>
      <c r="R117" s="27"/>
      <c r="S117" s="27"/>
      <c r="T117" s="27"/>
    </row>
    <row r="118" ht="14.25" customHeight="1" spans="3:20">
      <c r="C118" s="12">
        <v>108</v>
      </c>
      <c r="D118" s="5" t="s">
        <v>240</v>
      </c>
      <c r="E118" s="13" t="s">
        <v>241</v>
      </c>
      <c r="F118" s="34">
        <v>30</v>
      </c>
      <c r="G118" s="34">
        <v>30</v>
      </c>
      <c r="H118" s="34">
        <v>30</v>
      </c>
      <c r="I118" s="34">
        <v>30</v>
      </c>
      <c r="J118" s="34">
        <v>30</v>
      </c>
      <c r="K118" s="34">
        <v>30</v>
      </c>
      <c r="L118" s="34">
        <v>30</v>
      </c>
      <c r="M118" s="34">
        <v>30</v>
      </c>
      <c r="N118" s="34">
        <v>30</v>
      </c>
      <c r="O118" s="34">
        <v>30</v>
      </c>
      <c r="P118" s="26">
        <f t="shared" si="1"/>
        <v>30</v>
      </c>
      <c r="Q118" s="27"/>
      <c r="R118" s="27"/>
      <c r="S118" s="27"/>
      <c r="T118" s="27"/>
    </row>
    <row r="119" ht="14.25" customHeight="1" spans="3:20">
      <c r="C119" s="12">
        <v>109</v>
      </c>
      <c r="D119" s="5" t="s">
        <v>242</v>
      </c>
      <c r="E119" s="13" t="s">
        <v>243</v>
      </c>
      <c r="F119" s="34">
        <v>30</v>
      </c>
      <c r="G119" s="34">
        <v>30</v>
      </c>
      <c r="H119" s="34">
        <v>30</v>
      </c>
      <c r="I119" s="34">
        <v>30</v>
      </c>
      <c r="J119" s="34">
        <v>30</v>
      </c>
      <c r="K119" s="34">
        <v>30</v>
      </c>
      <c r="L119" s="34">
        <v>30</v>
      </c>
      <c r="M119" s="34">
        <v>30</v>
      </c>
      <c r="N119" s="34">
        <v>30</v>
      </c>
      <c r="O119" s="34">
        <v>30</v>
      </c>
      <c r="P119" s="26">
        <f t="shared" si="1"/>
        <v>30</v>
      </c>
      <c r="Q119" s="27"/>
      <c r="R119" s="27"/>
      <c r="S119" s="27"/>
      <c r="T119" s="27"/>
    </row>
    <row r="120" spans="3:20">
      <c r="C120" s="12">
        <v>110</v>
      </c>
      <c r="D120" s="5" t="s">
        <v>244</v>
      </c>
      <c r="E120" s="13" t="s">
        <v>245</v>
      </c>
      <c r="F120" s="34">
        <v>30</v>
      </c>
      <c r="G120" s="34">
        <v>30</v>
      </c>
      <c r="H120" s="34">
        <v>30</v>
      </c>
      <c r="I120" s="34">
        <v>30</v>
      </c>
      <c r="J120" s="34">
        <v>30</v>
      </c>
      <c r="K120" s="34">
        <v>30</v>
      </c>
      <c r="L120" s="34">
        <v>30</v>
      </c>
      <c r="M120" s="34">
        <v>30</v>
      </c>
      <c r="N120" s="34">
        <v>30</v>
      </c>
      <c r="O120" s="34">
        <v>30</v>
      </c>
      <c r="P120" s="26">
        <f t="shared" si="1"/>
        <v>30</v>
      </c>
      <c r="Q120" s="27"/>
      <c r="R120" s="27"/>
      <c r="S120" s="27"/>
      <c r="T120" s="27"/>
    </row>
    <row r="121" ht="14.25" customHeight="1" spans="3:20">
      <c r="C121" s="12">
        <v>111</v>
      </c>
      <c r="D121" s="5" t="s">
        <v>246</v>
      </c>
      <c r="E121" s="13" t="s">
        <v>247</v>
      </c>
      <c r="F121" s="34">
        <v>30</v>
      </c>
      <c r="G121" s="34">
        <v>30</v>
      </c>
      <c r="H121" s="34">
        <v>30</v>
      </c>
      <c r="I121" s="34">
        <v>30</v>
      </c>
      <c r="J121" s="34">
        <v>30</v>
      </c>
      <c r="K121" s="34">
        <v>30</v>
      </c>
      <c r="L121" s="34">
        <v>30</v>
      </c>
      <c r="M121" s="34">
        <v>30</v>
      </c>
      <c r="N121" s="34">
        <v>30</v>
      </c>
      <c r="O121" s="34">
        <v>30</v>
      </c>
      <c r="P121" s="26">
        <f t="shared" si="1"/>
        <v>30</v>
      </c>
      <c r="Q121" s="27"/>
      <c r="R121" s="27"/>
      <c r="S121" s="27"/>
      <c r="T121" s="27"/>
    </row>
    <row r="122" ht="14.25" customHeight="1" spans="3:20">
      <c r="C122" s="12">
        <v>112</v>
      </c>
      <c r="D122" s="5" t="s">
        <v>248</v>
      </c>
      <c r="E122" s="13" t="s">
        <v>249</v>
      </c>
      <c r="F122" s="34">
        <v>30</v>
      </c>
      <c r="G122" s="34">
        <v>30</v>
      </c>
      <c r="H122" s="34">
        <v>30</v>
      </c>
      <c r="I122" s="34">
        <v>30</v>
      </c>
      <c r="J122" s="34">
        <v>29</v>
      </c>
      <c r="K122" s="34">
        <v>29</v>
      </c>
      <c r="L122" s="34">
        <v>30</v>
      </c>
      <c r="M122" s="34">
        <v>30</v>
      </c>
      <c r="N122" s="34">
        <v>30</v>
      </c>
      <c r="O122" s="34">
        <v>30</v>
      </c>
      <c r="P122" s="26">
        <f t="shared" si="1"/>
        <v>29.8</v>
      </c>
      <c r="Q122" s="27"/>
      <c r="R122" s="27"/>
      <c r="S122" s="27"/>
      <c r="T122" s="27"/>
    </row>
    <row r="123" ht="22.15" customHeight="1" spans="3:20">
      <c r="C123" s="12">
        <v>113</v>
      </c>
      <c r="D123" s="5" t="s">
        <v>250</v>
      </c>
      <c r="E123" s="13" t="s">
        <v>251</v>
      </c>
      <c r="F123" s="34">
        <v>30</v>
      </c>
      <c r="G123" s="34">
        <v>30</v>
      </c>
      <c r="H123" s="34">
        <v>30</v>
      </c>
      <c r="I123" s="34">
        <v>30</v>
      </c>
      <c r="J123" s="34">
        <v>30</v>
      </c>
      <c r="K123" s="34">
        <v>29</v>
      </c>
      <c r="L123" s="34">
        <v>30</v>
      </c>
      <c r="M123" s="34">
        <v>30</v>
      </c>
      <c r="N123" s="34">
        <v>30</v>
      </c>
      <c r="O123" s="34">
        <v>30</v>
      </c>
      <c r="P123" s="26">
        <f t="shared" si="1"/>
        <v>29.9</v>
      </c>
      <c r="Q123" s="27"/>
      <c r="R123" s="27"/>
      <c r="S123" s="27"/>
      <c r="T123" s="27"/>
    </row>
    <row r="124" ht="14.25" customHeight="1" spans="3:20">
      <c r="C124" s="12">
        <v>114</v>
      </c>
      <c r="D124" s="5" t="s">
        <v>252</v>
      </c>
      <c r="E124" s="13" t="s">
        <v>253</v>
      </c>
      <c r="F124" s="34">
        <v>30</v>
      </c>
      <c r="G124" s="34">
        <v>30</v>
      </c>
      <c r="H124" s="34">
        <v>30</v>
      </c>
      <c r="I124" s="34">
        <v>30</v>
      </c>
      <c r="J124" s="34">
        <v>28</v>
      </c>
      <c r="K124" s="34">
        <v>29</v>
      </c>
      <c r="L124" s="34">
        <v>30</v>
      </c>
      <c r="M124" s="34">
        <v>30</v>
      </c>
      <c r="N124" s="34">
        <v>30</v>
      </c>
      <c r="O124" s="34">
        <v>30</v>
      </c>
      <c r="P124" s="26">
        <f t="shared" si="1"/>
        <v>29.7</v>
      </c>
      <c r="Q124" s="27"/>
      <c r="R124" s="27"/>
      <c r="S124" s="27"/>
      <c r="T124" s="27"/>
    </row>
    <row r="125" ht="14.25" customHeight="1" spans="3:20">
      <c r="C125" s="12">
        <v>115</v>
      </c>
      <c r="D125" s="5" t="s">
        <v>254</v>
      </c>
      <c r="E125" s="13" t="s">
        <v>255</v>
      </c>
      <c r="F125" s="34">
        <v>30</v>
      </c>
      <c r="G125" s="34">
        <v>30</v>
      </c>
      <c r="H125" s="34">
        <v>30</v>
      </c>
      <c r="I125" s="34">
        <v>30</v>
      </c>
      <c r="J125" s="34">
        <v>30</v>
      </c>
      <c r="K125" s="34">
        <v>30</v>
      </c>
      <c r="L125" s="34">
        <v>30</v>
      </c>
      <c r="M125" s="34">
        <v>30</v>
      </c>
      <c r="N125" s="34">
        <v>30</v>
      </c>
      <c r="O125" s="34">
        <v>30</v>
      </c>
      <c r="P125" s="26">
        <f t="shared" si="1"/>
        <v>30</v>
      </c>
      <c r="Q125" s="27"/>
      <c r="R125" s="27"/>
      <c r="S125" s="27"/>
      <c r="T125" s="27"/>
    </row>
    <row r="126" ht="14.25" customHeight="1" spans="3:20">
      <c r="C126" s="12">
        <v>116</v>
      </c>
      <c r="D126" s="5" t="s">
        <v>256</v>
      </c>
      <c r="E126" s="13" t="s">
        <v>257</v>
      </c>
      <c r="F126" s="34">
        <v>30</v>
      </c>
      <c r="G126" s="34">
        <v>30</v>
      </c>
      <c r="H126" s="34">
        <v>30</v>
      </c>
      <c r="I126" s="34">
        <v>30</v>
      </c>
      <c r="J126" s="34">
        <v>30</v>
      </c>
      <c r="K126" s="34">
        <v>26</v>
      </c>
      <c r="L126" s="34">
        <v>26</v>
      </c>
      <c r="M126" s="34">
        <v>26</v>
      </c>
      <c r="N126" s="34">
        <v>30</v>
      </c>
      <c r="O126" s="34">
        <v>30</v>
      </c>
      <c r="P126" s="26">
        <f t="shared" si="1"/>
        <v>28.8</v>
      </c>
      <c r="Q126" s="27"/>
      <c r="R126" s="27"/>
      <c r="S126" s="27"/>
      <c r="T126" s="27"/>
    </row>
    <row r="127" ht="14.25" customHeight="1" spans="3:20">
      <c r="C127" s="12">
        <v>117</v>
      </c>
      <c r="D127" s="5" t="s">
        <v>258</v>
      </c>
      <c r="E127" s="13" t="s">
        <v>259</v>
      </c>
      <c r="F127" s="34">
        <v>30</v>
      </c>
      <c r="G127" s="34">
        <v>30</v>
      </c>
      <c r="H127" s="34">
        <v>30</v>
      </c>
      <c r="I127" s="34">
        <v>30</v>
      </c>
      <c r="J127" s="34">
        <v>30</v>
      </c>
      <c r="K127" s="34">
        <v>30</v>
      </c>
      <c r="L127" s="34">
        <v>30</v>
      </c>
      <c r="M127" s="34">
        <v>30</v>
      </c>
      <c r="N127" s="34">
        <v>30</v>
      </c>
      <c r="O127" s="34">
        <v>30</v>
      </c>
      <c r="P127" s="26">
        <f t="shared" si="1"/>
        <v>30</v>
      </c>
      <c r="Q127" s="27"/>
      <c r="R127" s="27"/>
      <c r="S127" s="27"/>
      <c r="T127" s="27"/>
    </row>
    <row r="128" ht="14.25" customHeight="1" spans="3:20">
      <c r="C128" s="12">
        <v>118</v>
      </c>
      <c r="D128" s="5" t="s">
        <v>260</v>
      </c>
      <c r="E128" s="13" t="s">
        <v>261</v>
      </c>
      <c r="F128" s="34">
        <v>30</v>
      </c>
      <c r="G128" s="34">
        <v>30</v>
      </c>
      <c r="H128" s="34">
        <v>30</v>
      </c>
      <c r="I128" s="34">
        <v>30</v>
      </c>
      <c r="J128" s="34">
        <v>30</v>
      </c>
      <c r="K128" s="34">
        <v>30</v>
      </c>
      <c r="L128" s="34">
        <v>30</v>
      </c>
      <c r="M128" s="34">
        <v>30</v>
      </c>
      <c r="N128" s="34">
        <v>30</v>
      </c>
      <c r="O128" s="34">
        <v>30</v>
      </c>
      <c r="P128" s="26">
        <f t="shared" si="1"/>
        <v>30</v>
      </c>
      <c r="Q128" s="27"/>
      <c r="R128" s="27"/>
      <c r="S128" s="27"/>
      <c r="T128" s="27"/>
    </row>
    <row r="129" ht="14.25" customHeight="1" spans="3:20">
      <c r="C129" s="12">
        <v>119</v>
      </c>
      <c r="D129" s="5" t="s">
        <v>262</v>
      </c>
      <c r="E129" s="13" t="s">
        <v>263</v>
      </c>
      <c r="F129" s="34">
        <v>30</v>
      </c>
      <c r="G129" s="34">
        <v>30</v>
      </c>
      <c r="H129" s="34">
        <v>30</v>
      </c>
      <c r="I129" s="34">
        <v>30</v>
      </c>
      <c r="J129" s="34">
        <v>30</v>
      </c>
      <c r="K129" s="34">
        <v>30</v>
      </c>
      <c r="L129" s="34">
        <v>30</v>
      </c>
      <c r="M129" s="34">
        <v>30</v>
      </c>
      <c r="N129" s="34">
        <v>30</v>
      </c>
      <c r="O129" s="34">
        <v>30</v>
      </c>
      <c r="P129" s="26">
        <f t="shared" si="1"/>
        <v>30</v>
      </c>
      <c r="Q129" s="27"/>
      <c r="R129" s="27"/>
      <c r="S129" s="27"/>
      <c r="T129" s="27"/>
    </row>
    <row r="130" ht="14.25" customHeight="1" spans="3:20">
      <c r="C130" s="12">
        <v>120</v>
      </c>
      <c r="D130" s="5" t="s">
        <v>264</v>
      </c>
      <c r="E130" s="13" t="s">
        <v>265</v>
      </c>
      <c r="F130" s="34">
        <v>30</v>
      </c>
      <c r="G130" s="34">
        <v>30</v>
      </c>
      <c r="H130" s="34">
        <v>30</v>
      </c>
      <c r="I130" s="34">
        <v>30</v>
      </c>
      <c r="J130" s="34">
        <v>30</v>
      </c>
      <c r="K130" s="34">
        <v>30</v>
      </c>
      <c r="L130" s="34">
        <v>30</v>
      </c>
      <c r="M130" s="34">
        <v>30</v>
      </c>
      <c r="N130" s="34">
        <v>30</v>
      </c>
      <c r="O130" s="34">
        <v>30</v>
      </c>
      <c r="P130" s="26">
        <f t="shared" si="1"/>
        <v>30</v>
      </c>
      <c r="Q130" s="27"/>
      <c r="R130" s="27"/>
      <c r="S130" s="27"/>
      <c r="T130" s="27"/>
    </row>
    <row r="131" ht="14.25" customHeight="1" spans="3:20">
      <c r="C131" s="12">
        <v>121</v>
      </c>
      <c r="D131" s="5" t="s">
        <v>266</v>
      </c>
      <c r="E131" s="13" t="s">
        <v>267</v>
      </c>
      <c r="F131" s="34">
        <v>30</v>
      </c>
      <c r="G131" s="34">
        <v>30</v>
      </c>
      <c r="H131" s="34">
        <v>30</v>
      </c>
      <c r="I131" s="34">
        <v>30</v>
      </c>
      <c r="J131" s="34">
        <v>30</v>
      </c>
      <c r="K131" s="34">
        <v>30</v>
      </c>
      <c r="L131" s="34">
        <v>30</v>
      </c>
      <c r="M131" s="34">
        <v>30</v>
      </c>
      <c r="N131" s="34">
        <v>30</v>
      </c>
      <c r="O131" s="34">
        <v>30</v>
      </c>
      <c r="P131" s="26">
        <f t="shared" si="1"/>
        <v>30</v>
      </c>
      <c r="Q131" s="27"/>
      <c r="R131" s="27"/>
      <c r="S131" s="27"/>
      <c r="T131" s="27"/>
    </row>
    <row r="132" ht="14.25" customHeight="1" spans="3:20">
      <c r="C132" s="12">
        <v>122</v>
      </c>
      <c r="D132" s="5" t="s">
        <v>268</v>
      </c>
      <c r="E132" s="13" t="s">
        <v>269</v>
      </c>
      <c r="F132" s="34">
        <v>30</v>
      </c>
      <c r="G132" s="34">
        <v>30</v>
      </c>
      <c r="H132" s="34">
        <v>30</v>
      </c>
      <c r="I132" s="34">
        <v>30</v>
      </c>
      <c r="J132" s="34">
        <v>30</v>
      </c>
      <c r="K132" s="34">
        <v>30</v>
      </c>
      <c r="L132" s="34">
        <v>30</v>
      </c>
      <c r="M132" s="34">
        <v>30</v>
      </c>
      <c r="N132" s="34">
        <v>30</v>
      </c>
      <c r="O132" s="34">
        <v>30</v>
      </c>
      <c r="P132" s="26">
        <f t="shared" si="1"/>
        <v>30</v>
      </c>
      <c r="Q132" s="27"/>
      <c r="R132" s="27"/>
      <c r="S132" s="27"/>
      <c r="T132" s="27"/>
    </row>
    <row r="133" ht="14.25" customHeight="1" spans="3:20">
      <c r="C133" s="12">
        <v>123</v>
      </c>
      <c r="D133" s="5" t="s">
        <v>270</v>
      </c>
      <c r="E133" s="13" t="s">
        <v>271</v>
      </c>
      <c r="F133" s="34">
        <v>30</v>
      </c>
      <c r="G133" s="34">
        <v>30</v>
      </c>
      <c r="H133" s="34">
        <v>30</v>
      </c>
      <c r="I133" s="34">
        <v>30</v>
      </c>
      <c r="J133" s="34">
        <v>30</v>
      </c>
      <c r="K133" s="34">
        <v>30</v>
      </c>
      <c r="L133" s="34">
        <v>30</v>
      </c>
      <c r="M133" s="34">
        <v>30</v>
      </c>
      <c r="N133" s="34">
        <v>30</v>
      </c>
      <c r="O133" s="34">
        <v>30</v>
      </c>
      <c r="P133" s="26">
        <f t="shared" si="1"/>
        <v>30</v>
      </c>
      <c r="Q133" s="27"/>
      <c r="R133" s="27"/>
      <c r="S133" s="27"/>
      <c r="T133" s="27"/>
    </row>
    <row r="134" ht="14.25" customHeight="1" spans="3:20">
      <c r="C134" s="12">
        <v>124</v>
      </c>
      <c r="D134" s="5" t="s">
        <v>272</v>
      </c>
      <c r="E134" s="13" t="s">
        <v>273</v>
      </c>
      <c r="F134" s="34">
        <v>30</v>
      </c>
      <c r="G134" s="34">
        <v>30</v>
      </c>
      <c r="H134" s="34">
        <v>30</v>
      </c>
      <c r="I134" s="34">
        <v>30</v>
      </c>
      <c r="J134" s="34">
        <v>30</v>
      </c>
      <c r="K134" s="34">
        <v>30</v>
      </c>
      <c r="L134" s="34">
        <v>30</v>
      </c>
      <c r="M134" s="34">
        <v>30</v>
      </c>
      <c r="N134" s="34">
        <v>30</v>
      </c>
      <c r="O134" s="34">
        <v>30</v>
      </c>
      <c r="P134" s="26">
        <f t="shared" si="1"/>
        <v>30</v>
      </c>
      <c r="Q134" s="27"/>
      <c r="R134" s="27"/>
      <c r="S134" s="27"/>
      <c r="T134" s="27"/>
    </row>
    <row r="135" ht="14.25" customHeight="1" spans="3:20">
      <c r="C135" s="12">
        <v>125</v>
      </c>
      <c r="D135" s="5" t="s">
        <v>274</v>
      </c>
      <c r="E135" s="13" t="s">
        <v>275</v>
      </c>
      <c r="F135" s="34">
        <v>30</v>
      </c>
      <c r="G135" s="34">
        <v>30</v>
      </c>
      <c r="H135" s="34">
        <v>30</v>
      </c>
      <c r="I135" s="34">
        <v>30</v>
      </c>
      <c r="J135" s="34">
        <v>30</v>
      </c>
      <c r="K135" s="34">
        <v>30</v>
      </c>
      <c r="L135" s="34">
        <v>30</v>
      </c>
      <c r="M135" s="34">
        <v>30</v>
      </c>
      <c r="N135" s="34">
        <v>30</v>
      </c>
      <c r="O135" s="34">
        <v>30</v>
      </c>
      <c r="P135" s="26">
        <f t="shared" si="1"/>
        <v>30</v>
      </c>
      <c r="Q135" s="27"/>
      <c r="R135" s="27"/>
      <c r="S135" s="27"/>
      <c r="T135" s="27"/>
    </row>
    <row r="136" ht="14.25" customHeight="1" spans="3:20">
      <c r="C136" s="12">
        <v>126</v>
      </c>
      <c r="D136" s="5" t="s">
        <v>276</v>
      </c>
      <c r="E136" s="13" t="s">
        <v>277</v>
      </c>
      <c r="F136" s="34">
        <v>25</v>
      </c>
      <c r="G136" s="34">
        <v>29</v>
      </c>
      <c r="H136" s="34">
        <v>29</v>
      </c>
      <c r="I136" s="34">
        <v>30</v>
      </c>
      <c r="J136" s="34">
        <v>30</v>
      </c>
      <c r="K136" s="34">
        <v>30</v>
      </c>
      <c r="L136" s="34">
        <v>30</v>
      </c>
      <c r="M136" s="34">
        <v>30</v>
      </c>
      <c r="N136" s="34">
        <v>30</v>
      </c>
      <c r="O136" s="34">
        <v>30</v>
      </c>
      <c r="P136" s="26">
        <f t="shared" si="1"/>
        <v>29.3</v>
      </c>
      <c r="Q136" s="27"/>
      <c r="R136" s="27"/>
      <c r="S136" s="27"/>
      <c r="T136" s="27"/>
    </row>
    <row r="137" ht="14.25" customHeight="1" spans="3:20">
      <c r="C137" s="12">
        <v>127</v>
      </c>
      <c r="D137" s="5" t="s">
        <v>278</v>
      </c>
      <c r="E137" s="13" t="s">
        <v>279</v>
      </c>
      <c r="F137" s="34">
        <v>30</v>
      </c>
      <c r="G137" s="34">
        <v>30</v>
      </c>
      <c r="H137" s="34">
        <v>30</v>
      </c>
      <c r="I137" s="34">
        <v>30</v>
      </c>
      <c r="J137" s="34">
        <v>30</v>
      </c>
      <c r="K137" s="34">
        <v>30</v>
      </c>
      <c r="L137" s="34">
        <v>30</v>
      </c>
      <c r="M137" s="34">
        <v>30</v>
      </c>
      <c r="N137" s="34">
        <v>30</v>
      </c>
      <c r="O137" s="34">
        <v>30</v>
      </c>
      <c r="P137" s="26">
        <f t="shared" si="1"/>
        <v>30</v>
      </c>
      <c r="Q137" s="27"/>
      <c r="R137" s="27"/>
      <c r="S137" s="27"/>
      <c r="T137" s="27"/>
    </row>
    <row r="138" ht="14.25" customHeight="1" spans="3:20">
      <c r="C138" s="12">
        <v>128</v>
      </c>
      <c r="D138" s="5" t="s">
        <v>280</v>
      </c>
      <c r="E138" s="13" t="s">
        <v>281</v>
      </c>
      <c r="F138" s="34">
        <v>29</v>
      </c>
      <c r="G138" s="34">
        <v>27</v>
      </c>
      <c r="H138" s="34">
        <v>30</v>
      </c>
      <c r="I138" s="34">
        <v>28</v>
      </c>
      <c r="J138" s="34">
        <v>28</v>
      </c>
      <c r="K138" s="34">
        <v>27</v>
      </c>
      <c r="L138" s="34">
        <v>26</v>
      </c>
      <c r="M138" s="34">
        <v>28</v>
      </c>
      <c r="N138" s="34">
        <v>27</v>
      </c>
      <c r="O138" s="34">
        <v>28</v>
      </c>
      <c r="P138" s="26">
        <f t="shared" si="1"/>
        <v>27.8</v>
      </c>
      <c r="Q138" s="27"/>
      <c r="R138" s="27"/>
      <c r="S138" s="27"/>
      <c r="T138" s="27"/>
    </row>
    <row r="139" ht="14.25" customHeight="1" spans="3:16">
      <c r="C139" s="12">
        <v>129</v>
      </c>
      <c r="D139" s="5" t="s">
        <v>282</v>
      </c>
      <c r="E139" s="13" t="s">
        <v>283</v>
      </c>
      <c r="F139" s="34">
        <v>30</v>
      </c>
      <c r="G139" s="34">
        <v>30</v>
      </c>
      <c r="H139" s="34">
        <v>30</v>
      </c>
      <c r="I139" s="34">
        <v>30</v>
      </c>
      <c r="J139" s="34">
        <v>30</v>
      </c>
      <c r="K139" s="34">
        <v>30</v>
      </c>
      <c r="L139" s="34">
        <v>28</v>
      </c>
      <c r="M139" s="34">
        <v>28</v>
      </c>
      <c r="N139" s="34">
        <v>29</v>
      </c>
      <c r="O139" s="34">
        <v>29</v>
      </c>
      <c r="P139" s="26">
        <f t="shared" ref="P139:P202" si="2">AVERAGE(F139:O139)</f>
        <v>29.4</v>
      </c>
    </row>
    <row r="140" ht="14.25" customHeight="1" spans="3:16">
      <c r="C140" s="12">
        <v>130</v>
      </c>
      <c r="D140" s="5" t="s">
        <v>284</v>
      </c>
      <c r="E140" s="13" t="s">
        <v>285</v>
      </c>
      <c r="F140" s="34">
        <v>29</v>
      </c>
      <c r="G140" s="34">
        <v>29</v>
      </c>
      <c r="H140" s="34">
        <v>30</v>
      </c>
      <c r="I140" s="34">
        <v>29</v>
      </c>
      <c r="J140" s="34">
        <v>30</v>
      </c>
      <c r="K140" s="34">
        <v>30</v>
      </c>
      <c r="L140" s="34">
        <v>28</v>
      </c>
      <c r="M140" s="34">
        <v>29</v>
      </c>
      <c r="N140" s="34">
        <v>28</v>
      </c>
      <c r="O140" s="34">
        <v>29</v>
      </c>
      <c r="P140" s="26">
        <f t="shared" si="2"/>
        <v>29.1</v>
      </c>
    </row>
    <row r="141" ht="14.25" customHeight="1" spans="3:16">
      <c r="C141" s="12">
        <v>131</v>
      </c>
      <c r="D141" s="5" t="s">
        <v>286</v>
      </c>
      <c r="E141" s="13" t="s">
        <v>287</v>
      </c>
      <c r="F141" s="34">
        <v>27</v>
      </c>
      <c r="G141" s="34">
        <v>27</v>
      </c>
      <c r="H141" s="34">
        <v>27</v>
      </c>
      <c r="I141" s="34">
        <v>28</v>
      </c>
      <c r="J141" s="34">
        <v>28</v>
      </c>
      <c r="K141" s="34">
        <v>27</v>
      </c>
      <c r="L141" s="34">
        <v>28</v>
      </c>
      <c r="M141" s="34">
        <v>29</v>
      </c>
      <c r="N141" s="34">
        <v>27</v>
      </c>
      <c r="O141" s="34">
        <v>27</v>
      </c>
      <c r="P141" s="26">
        <f t="shared" si="2"/>
        <v>27.5</v>
      </c>
    </row>
    <row r="142" ht="14.25" customHeight="1" spans="3:16">
      <c r="C142" s="12">
        <v>132</v>
      </c>
      <c r="D142" s="5" t="s">
        <v>288</v>
      </c>
      <c r="E142" s="13" t="s">
        <v>289</v>
      </c>
      <c r="F142" s="34">
        <v>30</v>
      </c>
      <c r="G142" s="34">
        <v>30</v>
      </c>
      <c r="H142" s="34">
        <v>29</v>
      </c>
      <c r="I142" s="34">
        <v>30</v>
      </c>
      <c r="J142" s="34">
        <v>30</v>
      </c>
      <c r="K142" s="34">
        <v>29</v>
      </c>
      <c r="L142" s="34">
        <v>28</v>
      </c>
      <c r="M142" s="34">
        <v>28</v>
      </c>
      <c r="N142" s="34">
        <v>29</v>
      </c>
      <c r="O142" s="34">
        <v>29</v>
      </c>
      <c r="P142" s="26">
        <f t="shared" si="2"/>
        <v>29.2</v>
      </c>
    </row>
    <row r="143" ht="14.25" customHeight="1" spans="3:16">
      <c r="C143" s="12">
        <v>133</v>
      </c>
      <c r="D143" s="5" t="s">
        <v>290</v>
      </c>
      <c r="E143" s="13" t="s">
        <v>291</v>
      </c>
      <c r="F143" s="34">
        <v>0</v>
      </c>
      <c r="G143" s="34">
        <v>0</v>
      </c>
      <c r="H143" s="34">
        <v>0</v>
      </c>
      <c r="I143" s="34">
        <v>0</v>
      </c>
      <c r="J143" s="34">
        <v>0</v>
      </c>
      <c r="K143" s="34">
        <v>0</v>
      </c>
      <c r="L143" s="34">
        <v>0</v>
      </c>
      <c r="M143" s="34">
        <v>0</v>
      </c>
      <c r="N143" s="3">
        <v>0</v>
      </c>
      <c r="O143" s="3">
        <v>0</v>
      </c>
      <c r="P143" s="26">
        <f t="shared" si="2"/>
        <v>0</v>
      </c>
    </row>
    <row r="144" ht="14.25" customHeight="1" spans="3:16">
      <c r="C144" s="12">
        <v>134</v>
      </c>
      <c r="D144" s="5" t="s">
        <v>292</v>
      </c>
      <c r="E144" s="13" t="s">
        <v>293</v>
      </c>
      <c r="F144" s="34">
        <v>29</v>
      </c>
      <c r="G144" s="34">
        <v>27</v>
      </c>
      <c r="H144" s="34">
        <v>27</v>
      </c>
      <c r="I144" s="34">
        <v>28</v>
      </c>
      <c r="J144" s="34">
        <v>27</v>
      </c>
      <c r="K144" s="34">
        <v>27</v>
      </c>
      <c r="L144" s="34">
        <v>27</v>
      </c>
      <c r="M144" s="34">
        <v>28</v>
      </c>
      <c r="N144" s="34">
        <v>28</v>
      </c>
      <c r="O144" s="34">
        <v>28</v>
      </c>
      <c r="P144" s="26">
        <f t="shared" si="2"/>
        <v>27.6</v>
      </c>
    </row>
    <row r="145" ht="14.25" customHeight="1" spans="3:16">
      <c r="C145" s="12">
        <v>135</v>
      </c>
      <c r="D145" s="5" t="s">
        <v>295</v>
      </c>
      <c r="E145" s="13" t="s">
        <v>296</v>
      </c>
      <c r="F145" s="34">
        <v>29</v>
      </c>
      <c r="G145" s="34">
        <v>29</v>
      </c>
      <c r="H145" s="34">
        <v>29</v>
      </c>
      <c r="I145" s="34">
        <v>29</v>
      </c>
      <c r="J145" s="34">
        <v>27</v>
      </c>
      <c r="K145" s="34">
        <v>29</v>
      </c>
      <c r="L145" s="34">
        <v>27</v>
      </c>
      <c r="M145" s="34">
        <v>28</v>
      </c>
      <c r="N145" s="34">
        <v>27</v>
      </c>
      <c r="O145" s="34">
        <v>28</v>
      </c>
      <c r="P145" s="26">
        <f t="shared" si="2"/>
        <v>28.2</v>
      </c>
    </row>
    <row r="146" ht="14.25" customHeight="1" spans="3:16">
      <c r="C146" s="12">
        <v>136</v>
      </c>
      <c r="D146" s="5" t="s">
        <v>297</v>
      </c>
      <c r="E146" s="13" t="s">
        <v>298</v>
      </c>
      <c r="F146" s="34">
        <v>28</v>
      </c>
      <c r="G146" s="34">
        <v>28</v>
      </c>
      <c r="H146" s="34">
        <v>27</v>
      </c>
      <c r="I146" s="34">
        <v>28</v>
      </c>
      <c r="J146" s="34">
        <v>30</v>
      </c>
      <c r="K146" s="34">
        <v>30</v>
      </c>
      <c r="L146" s="34">
        <v>27</v>
      </c>
      <c r="M146" s="34">
        <v>27</v>
      </c>
      <c r="N146" s="34">
        <v>28</v>
      </c>
      <c r="O146" s="34">
        <v>28</v>
      </c>
      <c r="P146" s="26">
        <f t="shared" si="2"/>
        <v>28.1</v>
      </c>
    </row>
    <row r="147" ht="14.25" customHeight="1" spans="3:16">
      <c r="C147" s="12">
        <v>137</v>
      </c>
      <c r="D147" s="5" t="s">
        <v>299</v>
      </c>
      <c r="E147" s="13" t="s">
        <v>300</v>
      </c>
      <c r="F147" s="34">
        <v>30</v>
      </c>
      <c r="G147" s="34">
        <v>30</v>
      </c>
      <c r="H147" s="34">
        <v>30</v>
      </c>
      <c r="I147" s="34">
        <v>30</v>
      </c>
      <c r="J147" s="34">
        <v>30</v>
      </c>
      <c r="K147" s="34">
        <v>30</v>
      </c>
      <c r="L147" s="34">
        <v>28</v>
      </c>
      <c r="M147" s="34">
        <v>28</v>
      </c>
      <c r="N147" s="34">
        <v>30</v>
      </c>
      <c r="O147" s="34">
        <v>28</v>
      </c>
      <c r="P147" s="26">
        <f t="shared" si="2"/>
        <v>29.4</v>
      </c>
    </row>
    <row r="148" ht="14.25" customHeight="1" spans="3:16">
      <c r="C148" s="12">
        <v>138</v>
      </c>
      <c r="D148" s="5" t="s">
        <v>301</v>
      </c>
      <c r="E148" s="13" t="s">
        <v>302</v>
      </c>
      <c r="F148" s="34">
        <v>30</v>
      </c>
      <c r="G148" s="34">
        <v>30</v>
      </c>
      <c r="H148" s="34">
        <v>30</v>
      </c>
      <c r="I148" s="34">
        <v>30</v>
      </c>
      <c r="J148" s="34">
        <v>30</v>
      </c>
      <c r="K148" s="34">
        <v>30</v>
      </c>
      <c r="L148" s="34">
        <v>30</v>
      </c>
      <c r="M148" s="34">
        <v>30</v>
      </c>
      <c r="N148" s="34">
        <v>30</v>
      </c>
      <c r="O148" s="34">
        <v>26</v>
      </c>
      <c r="P148" s="26">
        <f t="shared" si="2"/>
        <v>29.6</v>
      </c>
    </row>
    <row r="149" ht="14.25" customHeight="1" spans="3:16">
      <c r="C149" s="12">
        <v>139</v>
      </c>
      <c r="D149" s="5" t="s">
        <v>303</v>
      </c>
      <c r="E149" s="13" t="s">
        <v>304</v>
      </c>
      <c r="F149" s="34">
        <v>29</v>
      </c>
      <c r="G149" s="34">
        <v>29</v>
      </c>
      <c r="H149" s="34">
        <v>29</v>
      </c>
      <c r="I149" s="34">
        <v>29</v>
      </c>
      <c r="J149" s="34">
        <v>30</v>
      </c>
      <c r="K149" s="34">
        <v>28</v>
      </c>
      <c r="L149" s="34">
        <v>28</v>
      </c>
      <c r="M149" s="34">
        <v>28</v>
      </c>
      <c r="N149" s="34">
        <v>26</v>
      </c>
      <c r="O149" s="34">
        <v>28</v>
      </c>
      <c r="P149" s="26">
        <f t="shared" si="2"/>
        <v>28.4</v>
      </c>
    </row>
    <row r="150" ht="14.25" customHeight="1" spans="3:16">
      <c r="C150" s="12">
        <v>140</v>
      </c>
      <c r="D150" s="5" t="s">
        <v>305</v>
      </c>
      <c r="E150" s="13" t="s">
        <v>306</v>
      </c>
      <c r="F150" s="34">
        <v>30</v>
      </c>
      <c r="G150" s="34">
        <v>30</v>
      </c>
      <c r="H150" s="34">
        <v>30</v>
      </c>
      <c r="I150" s="34">
        <v>30</v>
      </c>
      <c r="J150" s="34">
        <v>30</v>
      </c>
      <c r="K150" s="34">
        <v>30</v>
      </c>
      <c r="L150" s="34">
        <v>28</v>
      </c>
      <c r="M150" s="34">
        <v>29</v>
      </c>
      <c r="N150" s="34">
        <v>29</v>
      </c>
      <c r="O150" s="34">
        <v>29</v>
      </c>
      <c r="P150" s="26">
        <f t="shared" si="2"/>
        <v>29.5</v>
      </c>
    </row>
    <row r="151" ht="14.25" customHeight="1" spans="3:16">
      <c r="C151" s="12">
        <v>141</v>
      </c>
      <c r="D151" s="5" t="s">
        <v>307</v>
      </c>
      <c r="E151" s="13" t="s">
        <v>308</v>
      </c>
      <c r="F151" s="34">
        <v>29</v>
      </c>
      <c r="G151" s="34">
        <v>29</v>
      </c>
      <c r="H151" s="34">
        <v>30</v>
      </c>
      <c r="I151" s="34">
        <v>30</v>
      </c>
      <c r="J151" s="34">
        <v>30</v>
      </c>
      <c r="K151" s="34">
        <v>30</v>
      </c>
      <c r="L151" s="34">
        <v>28</v>
      </c>
      <c r="M151" s="34">
        <v>29</v>
      </c>
      <c r="N151" s="34">
        <v>29</v>
      </c>
      <c r="O151" s="34">
        <v>29</v>
      </c>
      <c r="P151" s="26">
        <f t="shared" si="2"/>
        <v>29.3</v>
      </c>
    </row>
    <row r="152" ht="14.25" customHeight="1" spans="3:16">
      <c r="C152" s="12">
        <v>142</v>
      </c>
      <c r="D152" s="5" t="s">
        <v>309</v>
      </c>
      <c r="E152" s="13" t="s">
        <v>310</v>
      </c>
      <c r="F152" s="34">
        <v>30</v>
      </c>
      <c r="G152" s="34">
        <v>30</v>
      </c>
      <c r="H152" s="34">
        <v>30</v>
      </c>
      <c r="I152" s="34">
        <v>30</v>
      </c>
      <c r="J152" s="34">
        <v>30</v>
      </c>
      <c r="K152" s="34">
        <v>29</v>
      </c>
      <c r="L152" s="34">
        <v>28</v>
      </c>
      <c r="M152" s="34">
        <v>29</v>
      </c>
      <c r="N152" s="34">
        <v>26</v>
      </c>
      <c r="O152" s="34">
        <v>28</v>
      </c>
      <c r="P152" s="26">
        <f t="shared" si="2"/>
        <v>29</v>
      </c>
    </row>
    <row r="153" ht="14.25" customHeight="1" spans="3:16">
      <c r="C153" s="12">
        <v>143</v>
      </c>
      <c r="D153" s="5" t="s">
        <v>311</v>
      </c>
      <c r="E153" s="13" t="s">
        <v>312</v>
      </c>
      <c r="F153" s="34">
        <v>30</v>
      </c>
      <c r="G153" s="34">
        <v>29</v>
      </c>
      <c r="H153" s="34">
        <v>29</v>
      </c>
      <c r="I153" s="34">
        <v>30</v>
      </c>
      <c r="J153" s="34">
        <v>28</v>
      </c>
      <c r="K153" s="34">
        <v>28</v>
      </c>
      <c r="L153" s="34">
        <v>28</v>
      </c>
      <c r="M153" s="34">
        <v>27</v>
      </c>
      <c r="N153" s="34">
        <v>28</v>
      </c>
      <c r="O153" s="34">
        <v>27</v>
      </c>
      <c r="P153" s="26">
        <f t="shared" si="2"/>
        <v>28.4</v>
      </c>
    </row>
    <row r="154" ht="14.25" customHeight="1" spans="3:16">
      <c r="C154" s="12">
        <v>144</v>
      </c>
      <c r="D154" s="5" t="s">
        <v>313</v>
      </c>
      <c r="E154" s="13" t="s">
        <v>314</v>
      </c>
      <c r="F154" s="34">
        <v>29</v>
      </c>
      <c r="G154" s="34">
        <v>29</v>
      </c>
      <c r="H154" s="34">
        <v>29</v>
      </c>
      <c r="I154" s="34">
        <v>29</v>
      </c>
      <c r="J154" s="34">
        <v>28</v>
      </c>
      <c r="K154" s="34">
        <v>29</v>
      </c>
      <c r="L154" s="34">
        <v>27</v>
      </c>
      <c r="M154" s="34">
        <v>28</v>
      </c>
      <c r="N154" s="34">
        <v>26</v>
      </c>
      <c r="O154" s="34">
        <v>27</v>
      </c>
      <c r="P154" s="26">
        <f t="shared" si="2"/>
        <v>28.1</v>
      </c>
    </row>
    <row r="155" ht="14.25" customHeight="1" spans="3:16">
      <c r="C155" s="12">
        <v>145</v>
      </c>
      <c r="D155" s="5" t="s">
        <v>315</v>
      </c>
      <c r="E155" s="13" t="s">
        <v>316</v>
      </c>
      <c r="F155" s="34">
        <v>29</v>
      </c>
      <c r="G155" s="34">
        <v>29</v>
      </c>
      <c r="H155" s="34">
        <v>29</v>
      </c>
      <c r="I155" s="34">
        <v>29</v>
      </c>
      <c r="J155" s="34">
        <v>30</v>
      </c>
      <c r="K155" s="34">
        <v>29</v>
      </c>
      <c r="L155" s="34">
        <v>28</v>
      </c>
      <c r="M155" s="34">
        <v>28</v>
      </c>
      <c r="N155" s="34">
        <v>27</v>
      </c>
      <c r="O155" s="34">
        <v>28</v>
      </c>
      <c r="P155" s="26">
        <f t="shared" si="2"/>
        <v>28.6</v>
      </c>
    </row>
    <row r="156" ht="14.25" customHeight="1" spans="3:16">
      <c r="C156" s="12">
        <v>146</v>
      </c>
      <c r="D156" s="5" t="s">
        <v>317</v>
      </c>
      <c r="E156" s="13" t="s">
        <v>318</v>
      </c>
      <c r="F156" s="34">
        <v>29</v>
      </c>
      <c r="G156" s="34">
        <v>29</v>
      </c>
      <c r="H156" s="34">
        <v>29</v>
      </c>
      <c r="I156" s="34">
        <v>29</v>
      </c>
      <c r="J156" s="34">
        <v>29</v>
      </c>
      <c r="K156" s="34">
        <v>29</v>
      </c>
      <c r="L156" s="34">
        <v>27</v>
      </c>
      <c r="M156" s="34">
        <v>28</v>
      </c>
      <c r="N156" s="34">
        <v>28</v>
      </c>
      <c r="O156" s="34">
        <v>29</v>
      </c>
      <c r="P156" s="26">
        <f t="shared" si="2"/>
        <v>28.6</v>
      </c>
    </row>
    <row r="157" ht="14.25" customHeight="1" spans="3:16">
      <c r="C157" s="12">
        <v>147</v>
      </c>
      <c r="D157" s="5" t="s">
        <v>319</v>
      </c>
      <c r="E157" s="13" t="s">
        <v>320</v>
      </c>
      <c r="F157" s="34">
        <v>29</v>
      </c>
      <c r="G157" s="34">
        <v>29</v>
      </c>
      <c r="H157" s="34">
        <v>29</v>
      </c>
      <c r="I157" s="34">
        <v>29</v>
      </c>
      <c r="J157" s="34">
        <v>29</v>
      </c>
      <c r="K157" s="34">
        <v>29</v>
      </c>
      <c r="L157" s="34">
        <v>27</v>
      </c>
      <c r="M157" s="34">
        <v>28</v>
      </c>
      <c r="N157" s="34">
        <v>28</v>
      </c>
      <c r="O157" s="34">
        <v>27</v>
      </c>
      <c r="P157" s="26">
        <f t="shared" si="2"/>
        <v>28.4</v>
      </c>
    </row>
    <row r="158" ht="14.25" customHeight="1" spans="3:16">
      <c r="C158" s="12">
        <v>148</v>
      </c>
      <c r="D158" s="5" t="s">
        <v>321</v>
      </c>
      <c r="E158" s="13" t="s">
        <v>322</v>
      </c>
      <c r="F158" s="34">
        <v>30</v>
      </c>
      <c r="G158" s="34">
        <v>30</v>
      </c>
      <c r="H158" s="34">
        <v>30</v>
      </c>
      <c r="I158" s="34">
        <v>30</v>
      </c>
      <c r="J158" s="34">
        <v>29</v>
      </c>
      <c r="K158" s="34">
        <v>29</v>
      </c>
      <c r="L158" s="34">
        <v>27</v>
      </c>
      <c r="M158" s="34">
        <v>28</v>
      </c>
      <c r="N158" s="34">
        <v>28</v>
      </c>
      <c r="O158" s="34">
        <v>28</v>
      </c>
      <c r="P158" s="26">
        <f t="shared" si="2"/>
        <v>28.9</v>
      </c>
    </row>
    <row r="159" ht="14.25" customHeight="1" spans="3:16">
      <c r="C159" s="12">
        <v>149</v>
      </c>
      <c r="D159" s="5" t="s">
        <v>323</v>
      </c>
      <c r="E159" s="13" t="s">
        <v>324</v>
      </c>
      <c r="F159" s="34">
        <v>30</v>
      </c>
      <c r="G159" s="34">
        <v>29</v>
      </c>
      <c r="H159" s="34">
        <v>29</v>
      </c>
      <c r="I159" s="34">
        <v>27</v>
      </c>
      <c r="J159" s="34">
        <v>30</v>
      </c>
      <c r="K159" s="34">
        <v>28</v>
      </c>
      <c r="L159" s="34">
        <v>30</v>
      </c>
      <c r="M159" s="34">
        <v>30</v>
      </c>
      <c r="N159" s="34">
        <v>29</v>
      </c>
      <c r="O159" s="34">
        <v>29</v>
      </c>
      <c r="P159" s="26">
        <f t="shared" si="2"/>
        <v>29.1</v>
      </c>
    </row>
    <row r="160" ht="14.25" customHeight="1" spans="3:16">
      <c r="C160" s="12">
        <v>150</v>
      </c>
      <c r="D160" s="5" t="s">
        <v>325</v>
      </c>
      <c r="E160" s="13" t="s">
        <v>326</v>
      </c>
      <c r="F160" s="34">
        <v>30</v>
      </c>
      <c r="G160" s="34">
        <v>30</v>
      </c>
      <c r="H160" s="34">
        <v>30</v>
      </c>
      <c r="I160" s="34">
        <v>27</v>
      </c>
      <c r="J160" s="34">
        <v>29</v>
      </c>
      <c r="K160" s="34">
        <v>30</v>
      </c>
      <c r="L160" s="34">
        <v>28</v>
      </c>
      <c r="M160" s="34">
        <v>27</v>
      </c>
      <c r="N160" s="34">
        <v>28</v>
      </c>
      <c r="O160" s="34">
        <v>28</v>
      </c>
      <c r="P160" s="26">
        <f t="shared" si="2"/>
        <v>28.7</v>
      </c>
    </row>
    <row r="161" ht="14.25" customHeight="1" spans="3:16">
      <c r="C161" s="12">
        <v>151</v>
      </c>
      <c r="D161" s="5" t="s">
        <v>327</v>
      </c>
      <c r="E161" s="13" t="s">
        <v>328</v>
      </c>
      <c r="F161" s="34">
        <v>30</v>
      </c>
      <c r="G161" s="34">
        <v>26</v>
      </c>
      <c r="H161" s="34">
        <v>27</v>
      </c>
      <c r="I161" s="34">
        <v>27</v>
      </c>
      <c r="J161" s="34">
        <v>30</v>
      </c>
      <c r="K161" s="34">
        <v>27</v>
      </c>
      <c r="L161" s="34">
        <v>26</v>
      </c>
      <c r="M161" s="34">
        <v>26</v>
      </c>
      <c r="N161" s="34">
        <v>27</v>
      </c>
      <c r="O161" s="34">
        <v>26</v>
      </c>
      <c r="P161" s="26">
        <f t="shared" si="2"/>
        <v>27.2</v>
      </c>
    </row>
    <row r="162" ht="14.25" customHeight="1" spans="3:16">
      <c r="C162" s="12">
        <v>152</v>
      </c>
      <c r="D162" s="5" t="s">
        <v>329</v>
      </c>
      <c r="E162" s="13" t="s">
        <v>330</v>
      </c>
      <c r="F162" s="34">
        <v>30</v>
      </c>
      <c r="G162" s="34">
        <v>29</v>
      </c>
      <c r="H162" s="34">
        <v>29</v>
      </c>
      <c r="I162" s="34">
        <v>27</v>
      </c>
      <c r="J162" s="34">
        <v>30</v>
      </c>
      <c r="K162" s="34">
        <v>30</v>
      </c>
      <c r="L162" s="34">
        <v>30</v>
      </c>
      <c r="M162" s="34">
        <v>28</v>
      </c>
      <c r="N162" s="34">
        <v>27</v>
      </c>
      <c r="O162" s="34">
        <v>27</v>
      </c>
      <c r="P162" s="26">
        <f t="shared" si="2"/>
        <v>28.7</v>
      </c>
    </row>
    <row r="163" ht="14.25" customHeight="1" spans="3:16">
      <c r="C163" s="12">
        <v>153</v>
      </c>
      <c r="D163" s="5" t="s">
        <v>331</v>
      </c>
      <c r="E163" s="13" t="s">
        <v>332</v>
      </c>
      <c r="F163" s="34">
        <v>30</v>
      </c>
      <c r="G163" s="34">
        <v>30</v>
      </c>
      <c r="H163" s="34">
        <v>28</v>
      </c>
      <c r="I163" s="34">
        <v>26</v>
      </c>
      <c r="J163" s="34">
        <v>29</v>
      </c>
      <c r="K163" s="34">
        <v>28</v>
      </c>
      <c r="L163" s="34">
        <v>30</v>
      </c>
      <c r="M163" s="34">
        <v>28</v>
      </c>
      <c r="N163" s="34">
        <v>28</v>
      </c>
      <c r="O163" s="34">
        <v>28</v>
      </c>
      <c r="P163" s="26">
        <f t="shared" si="2"/>
        <v>28.5</v>
      </c>
    </row>
    <row r="164" ht="14.25" customHeight="1" spans="3:16">
      <c r="C164" s="12">
        <v>154</v>
      </c>
      <c r="D164" s="5" t="s">
        <v>333</v>
      </c>
      <c r="E164" s="13" t="s">
        <v>334</v>
      </c>
      <c r="F164" s="34">
        <v>28</v>
      </c>
      <c r="G164" s="34">
        <v>30</v>
      </c>
      <c r="H164" s="34">
        <v>29</v>
      </c>
      <c r="I164" s="34">
        <v>26</v>
      </c>
      <c r="J164" s="34">
        <v>28</v>
      </c>
      <c r="K164" s="34">
        <v>28</v>
      </c>
      <c r="L164" s="34">
        <v>28</v>
      </c>
      <c r="M164" s="34">
        <v>26</v>
      </c>
      <c r="N164" s="34">
        <v>27</v>
      </c>
      <c r="O164" s="34">
        <v>30</v>
      </c>
      <c r="P164" s="26">
        <f t="shared" si="2"/>
        <v>28</v>
      </c>
    </row>
    <row r="165" ht="14.25" customHeight="1" spans="3:16">
      <c r="C165" s="12">
        <v>155</v>
      </c>
      <c r="D165" s="5" t="s">
        <v>335</v>
      </c>
      <c r="E165" s="13" t="s">
        <v>336</v>
      </c>
      <c r="F165" s="34">
        <v>28</v>
      </c>
      <c r="G165" s="34">
        <v>29</v>
      </c>
      <c r="H165" s="34">
        <v>30</v>
      </c>
      <c r="I165" s="34">
        <v>26</v>
      </c>
      <c r="J165" s="34">
        <v>30</v>
      </c>
      <c r="K165" s="34">
        <v>27</v>
      </c>
      <c r="L165" s="34">
        <v>27</v>
      </c>
      <c r="M165" s="34">
        <v>27</v>
      </c>
      <c r="N165" s="34">
        <v>28</v>
      </c>
      <c r="O165" s="34">
        <v>28</v>
      </c>
      <c r="P165" s="26">
        <f t="shared" si="2"/>
        <v>28</v>
      </c>
    </row>
    <row r="166" ht="14.25" customHeight="1" spans="3:16">
      <c r="C166" s="12">
        <v>156</v>
      </c>
      <c r="D166" s="5" t="s">
        <v>337</v>
      </c>
      <c r="E166" s="13" t="s">
        <v>338</v>
      </c>
      <c r="F166" s="34">
        <v>27</v>
      </c>
      <c r="G166" s="34">
        <v>28</v>
      </c>
      <c r="H166" s="34">
        <v>29</v>
      </c>
      <c r="I166" s="34">
        <v>30</v>
      </c>
      <c r="J166" s="34">
        <v>30</v>
      </c>
      <c r="K166" s="34">
        <v>28</v>
      </c>
      <c r="L166" s="34">
        <v>30</v>
      </c>
      <c r="M166" s="34">
        <v>30</v>
      </c>
      <c r="N166" s="34">
        <v>26</v>
      </c>
      <c r="O166" s="34">
        <v>26</v>
      </c>
      <c r="P166" s="26">
        <f t="shared" si="2"/>
        <v>28.4</v>
      </c>
    </row>
    <row r="167" ht="14.25" customHeight="1" spans="3:16">
      <c r="C167" s="12">
        <v>157</v>
      </c>
      <c r="D167" s="5" t="s">
        <v>339</v>
      </c>
      <c r="E167" s="13" t="s">
        <v>340</v>
      </c>
      <c r="F167" s="34">
        <v>29</v>
      </c>
      <c r="G167" s="34">
        <v>29</v>
      </c>
      <c r="H167" s="34">
        <v>29</v>
      </c>
      <c r="I167" s="34">
        <v>30</v>
      </c>
      <c r="J167" s="34">
        <v>30</v>
      </c>
      <c r="K167" s="34">
        <v>30</v>
      </c>
      <c r="L167" s="34">
        <v>29</v>
      </c>
      <c r="M167" s="34">
        <v>28</v>
      </c>
      <c r="N167" s="34">
        <v>28</v>
      </c>
      <c r="O167" s="34">
        <v>28</v>
      </c>
      <c r="P167" s="26">
        <f t="shared" si="2"/>
        <v>29</v>
      </c>
    </row>
    <row r="168" ht="14.25" customHeight="1" spans="3:16">
      <c r="C168" s="12">
        <v>158</v>
      </c>
      <c r="D168" s="5" t="s">
        <v>341</v>
      </c>
      <c r="E168" s="13" t="s">
        <v>342</v>
      </c>
      <c r="F168" s="34">
        <v>27</v>
      </c>
      <c r="G168" s="34">
        <v>29</v>
      </c>
      <c r="H168" s="34">
        <v>29</v>
      </c>
      <c r="I168" s="34">
        <v>27</v>
      </c>
      <c r="J168" s="34">
        <v>30</v>
      </c>
      <c r="K168" s="34">
        <v>30</v>
      </c>
      <c r="L168" s="34">
        <v>30</v>
      </c>
      <c r="M168" s="34">
        <v>27</v>
      </c>
      <c r="N168" s="34">
        <v>28</v>
      </c>
      <c r="O168" s="34">
        <v>28</v>
      </c>
      <c r="P168" s="26">
        <f t="shared" si="2"/>
        <v>28.5</v>
      </c>
    </row>
    <row r="169" ht="14.25" customHeight="1" spans="3:16">
      <c r="C169" s="12">
        <v>159</v>
      </c>
      <c r="D169" s="5" t="s">
        <v>343</v>
      </c>
      <c r="E169" s="13" t="s">
        <v>344</v>
      </c>
      <c r="F169" s="34">
        <v>26</v>
      </c>
      <c r="G169" s="34">
        <v>28</v>
      </c>
      <c r="H169" s="34">
        <v>28</v>
      </c>
      <c r="I169" s="34">
        <v>27</v>
      </c>
      <c r="J169" s="34">
        <v>28</v>
      </c>
      <c r="K169" s="34">
        <v>28</v>
      </c>
      <c r="L169" s="34">
        <v>27</v>
      </c>
      <c r="M169" s="34">
        <v>27</v>
      </c>
      <c r="N169" s="34">
        <v>30</v>
      </c>
      <c r="O169" s="34">
        <v>30</v>
      </c>
      <c r="P169" s="26">
        <f t="shared" si="2"/>
        <v>27.9</v>
      </c>
    </row>
    <row r="170" ht="14.25" customHeight="1" spans="3:16">
      <c r="C170" s="12">
        <v>160</v>
      </c>
      <c r="D170" s="5" t="s">
        <v>345</v>
      </c>
      <c r="E170" s="13" t="s">
        <v>346</v>
      </c>
      <c r="F170" s="34">
        <v>30</v>
      </c>
      <c r="G170" s="34">
        <v>27</v>
      </c>
      <c r="H170" s="34">
        <v>29</v>
      </c>
      <c r="I170" s="34">
        <v>26</v>
      </c>
      <c r="J170" s="34">
        <v>28</v>
      </c>
      <c r="K170" s="34">
        <v>29</v>
      </c>
      <c r="L170" s="34">
        <v>28</v>
      </c>
      <c r="M170" s="34">
        <v>28</v>
      </c>
      <c r="N170" s="34">
        <v>27</v>
      </c>
      <c r="O170" s="34">
        <v>27</v>
      </c>
      <c r="P170" s="26">
        <f t="shared" si="2"/>
        <v>27.9</v>
      </c>
    </row>
    <row r="171" ht="14.25" customHeight="1" spans="3:16">
      <c r="C171" s="12">
        <v>161</v>
      </c>
      <c r="D171" s="5" t="s">
        <v>347</v>
      </c>
      <c r="E171" s="13" t="s">
        <v>348</v>
      </c>
      <c r="F171" s="34">
        <v>27</v>
      </c>
      <c r="G171" s="34">
        <v>30</v>
      </c>
      <c r="H171" s="34">
        <v>28</v>
      </c>
      <c r="I171" s="34">
        <v>27</v>
      </c>
      <c r="J171" s="34">
        <v>30</v>
      </c>
      <c r="K171" s="34">
        <v>28</v>
      </c>
      <c r="L171" s="34">
        <v>28</v>
      </c>
      <c r="M171" s="34">
        <v>29</v>
      </c>
      <c r="N171" s="34">
        <v>28</v>
      </c>
      <c r="O171" s="34">
        <v>28</v>
      </c>
      <c r="P171" s="26">
        <f t="shared" si="2"/>
        <v>28.3</v>
      </c>
    </row>
    <row r="172" ht="14.25" customHeight="1" spans="3:16">
      <c r="C172" s="12">
        <v>162</v>
      </c>
      <c r="D172" s="5" t="s">
        <v>349</v>
      </c>
      <c r="E172" s="13" t="s">
        <v>350</v>
      </c>
      <c r="F172" s="34">
        <v>29</v>
      </c>
      <c r="G172" s="34">
        <v>30</v>
      </c>
      <c r="H172" s="34">
        <v>27</v>
      </c>
      <c r="I172" s="34">
        <v>26</v>
      </c>
      <c r="J172" s="34">
        <v>30</v>
      </c>
      <c r="K172" s="34">
        <v>27</v>
      </c>
      <c r="L172" s="34">
        <v>30</v>
      </c>
      <c r="M172" s="34">
        <v>28</v>
      </c>
      <c r="N172" s="34">
        <v>27</v>
      </c>
      <c r="O172" s="34">
        <v>27</v>
      </c>
      <c r="P172" s="26">
        <f t="shared" si="2"/>
        <v>28.1</v>
      </c>
    </row>
    <row r="173" ht="14.25" customHeight="1" spans="3:16">
      <c r="C173" s="12">
        <v>163</v>
      </c>
      <c r="D173" s="5" t="s">
        <v>351</v>
      </c>
      <c r="E173" s="13" t="s">
        <v>352</v>
      </c>
      <c r="F173" s="34">
        <v>29</v>
      </c>
      <c r="G173" s="34">
        <v>28</v>
      </c>
      <c r="H173" s="34">
        <v>29</v>
      </c>
      <c r="I173" s="34">
        <v>29</v>
      </c>
      <c r="J173" s="34">
        <v>30</v>
      </c>
      <c r="K173" s="34">
        <v>27</v>
      </c>
      <c r="L173" s="34">
        <v>27</v>
      </c>
      <c r="M173" s="34">
        <v>29</v>
      </c>
      <c r="N173" s="34">
        <v>27</v>
      </c>
      <c r="O173" s="34">
        <v>28</v>
      </c>
      <c r="P173" s="26">
        <f t="shared" si="2"/>
        <v>28.3</v>
      </c>
    </row>
    <row r="174" ht="14.25" customHeight="1" spans="3:16">
      <c r="C174" s="12">
        <v>164</v>
      </c>
      <c r="D174" s="5" t="s">
        <v>353</v>
      </c>
      <c r="E174" s="13" t="s">
        <v>354</v>
      </c>
      <c r="F174" s="34">
        <v>28</v>
      </c>
      <c r="G174" s="34">
        <v>28</v>
      </c>
      <c r="H174" s="34">
        <v>26</v>
      </c>
      <c r="I174" s="34">
        <v>26</v>
      </c>
      <c r="J174" s="34">
        <v>27</v>
      </c>
      <c r="K174" s="34">
        <v>27</v>
      </c>
      <c r="L174" s="34">
        <v>29</v>
      </c>
      <c r="M174" s="34">
        <v>30</v>
      </c>
      <c r="N174" s="34">
        <v>27</v>
      </c>
      <c r="O174" s="34">
        <v>26</v>
      </c>
      <c r="P174" s="26">
        <f t="shared" si="2"/>
        <v>27.4</v>
      </c>
    </row>
    <row r="175" ht="14.25" customHeight="1" spans="3:16">
      <c r="C175" s="12">
        <v>165</v>
      </c>
      <c r="D175" s="5" t="s">
        <v>355</v>
      </c>
      <c r="E175" s="13" t="s">
        <v>356</v>
      </c>
      <c r="F175" s="34">
        <v>29</v>
      </c>
      <c r="G175" s="34">
        <v>30</v>
      </c>
      <c r="H175" s="34">
        <v>29</v>
      </c>
      <c r="I175" s="34">
        <v>27</v>
      </c>
      <c r="J175" s="34">
        <v>30</v>
      </c>
      <c r="K175" s="34">
        <v>30</v>
      </c>
      <c r="L175" s="34">
        <v>30</v>
      </c>
      <c r="M175" s="34">
        <v>27</v>
      </c>
      <c r="N175" s="34">
        <v>30</v>
      </c>
      <c r="O175" s="34">
        <v>30</v>
      </c>
      <c r="P175" s="26">
        <f t="shared" si="2"/>
        <v>29.2</v>
      </c>
    </row>
    <row r="176" ht="14.25" customHeight="1" spans="3:16">
      <c r="C176" s="12">
        <v>166</v>
      </c>
      <c r="D176" s="5" t="s">
        <v>357</v>
      </c>
      <c r="E176" s="13" t="s">
        <v>358</v>
      </c>
      <c r="F176" s="34">
        <v>30</v>
      </c>
      <c r="G176" s="34">
        <v>30</v>
      </c>
      <c r="H176" s="34">
        <v>30</v>
      </c>
      <c r="I176" s="34">
        <v>27</v>
      </c>
      <c r="J176" s="34">
        <v>27</v>
      </c>
      <c r="K176" s="34">
        <v>27</v>
      </c>
      <c r="L176" s="34">
        <v>27</v>
      </c>
      <c r="M176" s="34">
        <v>27</v>
      </c>
      <c r="N176" s="34">
        <v>29</v>
      </c>
      <c r="O176" s="34">
        <v>29</v>
      </c>
      <c r="P176" s="26">
        <f t="shared" si="2"/>
        <v>28.3</v>
      </c>
    </row>
    <row r="177" ht="14.25" customHeight="1" spans="3:16">
      <c r="C177" s="12">
        <v>167</v>
      </c>
      <c r="D177" s="5" t="s">
        <v>359</v>
      </c>
      <c r="E177" s="13" t="s">
        <v>360</v>
      </c>
      <c r="F177" s="34">
        <v>30</v>
      </c>
      <c r="G177" s="34">
        <v>30</v>
      </c>
      <c r="H177" s="34">
        <v>29</v>
      </c>
      <c r="I177" s="34">
        <v>27</v>
      </c>
      <c r="J177" s="34">
        <v>30</v>
      </c>
      <c r="K177" s="34">
        <v>30</v>
      </c>
      <c r="L177" s="34">
        <v>30</v>
      </c>
      <c r="M177" s="34">
        <v>30</v>
      </c>
      <c r="N177" s="34">
        <v>30</v>
      </c>
      <c r="O177" s="34">
        <v>30</v>
      </c>
      <c r="P177" s="26">
        <f t="shared" si="2"/>
        <v>29.6</v>
      </c>
    </row>
    <row r="178" ht="14.25" customHeight="1" spans="3:16">
      <c r="C178" s="12">
        <v>168</v>
      </c>
      <c r="D178" s="5" t="s">
        <v>361</v>
      </c>
      <c r="E178" s="13" t="s">
        <v>362</v>
      </c>
      <c r="F178" s="34">
        <v>30</v>
      </c>
      <c r="G178" s="34">
        <v>30</v>
      </c>
      <c r="H178" s="34">
        <v>30</v>
      </c>
      <c r="I178" s="34">
        <v>26</v>
      </c>
      <c r="J178" s="34">
        <v>30</v>
      </c>
      <c r="K178" s="34">
        <v>28</v>
      </c>
      <c r="L178" s="34">
        <v>28</v>
      </c>
      <c r="M178" s="34">
        <v>30</v>
      </c>
      <c r="N178" s="34">
        <v>28</v>
      </c>
      <c r="O178" s="34">
        <v>28</v>
      </c>
      <c r="P178" s="26">
        <f t="shared" si="2"/>
        <v>28.8</v>
      </c>
    </row>
    <row r="179" ht="14.25" customHeight="1" spans="3:16">
      <c r="C179" s="12">
        <v>169</v>
      </c>
      <c r="D179" s="5" t="s">
        <v>363</v>
      </c>
      <c r="E179" s="13" t="s">
        <v>364</v>
      </c>
      <c r="F179" s="34">
        <v>26</v>
      </c>
      <c r="G179" s="34">
        <v>26</v>
      </c>
      <c r="H179" s="34">
        <v>26</v>
      </c>
      <c r="I179" s="34">
        <v>26</v>
      </c>
      <c r="J179" s="34">
        <v>29</v>
      </c>
      <c r="K179" s="34">
        <v>29</v>
      </c>
      <c r="L179" s="34">
        <v>28</v>
      </c>
      <c r="M179" s="34">
        <v>28</v>
      </c>
      <c r="N179" s="34">
        <v>28</v>
      </c>
      <c r="O179" s="34">
        <v>28</v>
      </c>
      <c r="P179" s="26">
        <f t="shared" si="2"/>
        <v>27.4</v>
      </c>
    </row>
    <row r="180" ht="14.25" customHeight="1" spans="3:16">
      <c r="C180" s="12">
        <v>170</v>
      </c>
      <c r="D180" s="5" t="s">
        <v>365</v>
      </c>
      <c r="E180" s="13" t="s">
        <v>366</v>
      </c>
      <c r="F180" s="34">
        <v>29</v>
      </c>
      <c r="G180" s="34">
        <v>29</v>
      </c>
      <c r="H180" s="34">
        <v>28</v>
      </c>
      <c r="I180" s="34">
        <v>27</v>
      </c>
      <c r="J180" s="34">
        <v>30</v>
      </c>
      <c r="K180" s="34">
        <v>28</v>
      </c>
      <c r="L180" s="34">
        <v>28</v>
      </c>
      <c r="M180" s="34">
        <v>28</v>
      </c>
      <c r="N180" s="34">
        <v>28</v>
      </c>
      <c r="O180" s="34">
        <v>28</v>
      </c>
      <c r="P180" s="26">
        <f t="shared" si="2"/>
        <v>28.3</v>
      </c>
    </row>
    <row r="181" ht="14.25" customHeight="1" spans="3:16">
      <c r="C181" s="12">
        <v>171</v>
      </c>
      <c r="D181" s="5" t="s">
        <v>367</v>
      </c>
      <c r="E181" s="13" t="s">
        <v>368</v>
      </c>
      <c r="F181" s="34">
        <v>29</v>
      </c>
      <c r="G181" s="34">
        <v>30</v>
      </c>
      <c r="H181" s="34">
        <v>27</v>
      </c>
      <c r="I181" s="34">
        <v>27</v>
      </c>
      <c r="J181" s="34">
        <v>28</v>
      </c>
      <c r="K181" s="34">
        <v>30</v>
      </c>
      <c r="L181" s="34">
        <v>30</v>
      </c>
      <c r="M181" s="34">
        <v>30</v>
      </c>
      <c r="N181" s="34">
        <v>28</v>
      </c>
      <c r="O181" s="34">
        <v>29</v>
      </c>
      <c r="P181" s="26">
        <f t="shared" si="2"/>
        <v>28.8</v>
      </c>
    </row>
    <row r="182" ht="14.25" customHeight="1" spans="3:16">
      <c r="C182" s="12">
        <v>172</v>
      </c>
      <c r="D182" s="5" t="s">
        <v>369</v>
      </c>
      <c r="E182" s="13" t="s">
        <v>370</v>
      </c>
      <c r="F182" s="34">
        <v>26</v>
      </c>
      <c r="G182" s="34">
        <v>26</v>
      </c>
      <c r="H182" s="34">
        <v>26</v>
      </c>
      <c r="I182" s="34">
        <v>26</v>
      </c>
      <c r="J182" s="34">
        <v>28</v>
      </c>
      <c r="K182" s="34">
        <v>30</v>
      </c>
      <c r="L182" s="34">
        <v>30</v>
      </c>
      <c r="M182" s="34">
        <v>30</v>
      </c>
      <c r="N182" s="34">
        <v>26</v>
      </c>
      <c r="O182" s="34">
        <v>27</v>
      </c>
      <c r="P182" s="26">
        <f t="shared" si="2"/>
        <v>27.5</v>
      </c>
    </row>
    <row r="183" ht="14.25" customHeight="1" spans="3:16">
      <c r="C183" s="12">
        <v>173</v>
      </c>
      <c r="D183" s="5" t="s">
        <v>371</v>
      </c>
      <c r="E183" s="13" t="s">
        <v>372</v>
      </c>
      <c r="F183" s="34">
        <v>26</v>
      </c>
      <c r="G183" s="34">
        <v>27</v>
      </c>
      <c r="H183" s="34">
        <v>27</v>
      </c>
      <c r="I183" s="34">
        <v>27</v>
      </c>
      <c r="J183" s="34">
        <v>28</v>
      </c>
      <c r="K183" s="34">
        <v>30</v>
      </c>
      <c r="L183" s="34">
        <v>28</v>
      </c>
      <c r="M183" s="34">
        <v>30</v>
      </c>
      <c r="N183" s="34">
        <v>26</v>
      </c>
      <c r="O183" s="34">
        <v>27</v>
      </c>
      <c r="P183" s="26">
        <f t="shared" si="2"/>
        <v>27.6</v>
      </c>
    </row>
    <row r="184" ht="14.25" customHeight="1" spans="3:16">
      <c r="C184" s="12">
        <v>174</v>
      </c>
      <c r="D184" s="5" t="s">
        <v>373</v>
      </c>
      <c r="E184" s="13" t="s">
        <v>374</v>
      </c>
      <c r="F184" s="34">
        <v>26</v>
      </c>
      <c r="G184" s="34">
        <v>26</v>
      </c>
      <c r="H184" s="34">
        <v>26</v>
      </c>
      <c r="I184" s="34">
        <v>26</v>
      </c>
      <c r="J184" s="34">
        <v>28</v>
      </c>
      <c r="K184" s="34">
        <v>29</v>
      </c>
      <c r="L184" s="34">
        <v>28</v>
      </c>
      <c r="M184" s="34">
        <v>30</v>
      </c>
      <c r="N184" s="34">
        <v>26</v>
      </c>
      <c r="O184" s="34">
        <v>27</v>
      </c>
      <c r="P184" s="26">
        <f t="shared" si="2"/>
        <v>27.2</v>
      </c>
    </row>
    <row r="185" ht="14.25" customHeight="1" spans="3:16">
      <c r="C185" s="12">
        <v>175</v>
      </c>
      <c r="D185" s="5" t="s">
        <v>375</v>
      </c>
      <c r="E185" s="13" t="s">
        <v>376</v>
      </c>
      <c r="F185" s="34">
        <v>26</v>
      </c>
      <c r="G185" s="34">
        <v>26</v>
      </c>
      <c r="H185" s="34">
        <v>26</v>
      </c>
      <c r="I185" s="34">
        <v>26</v>
      </c>
      <c r="J185" s="34">
        <v>28</v>
      </c>
      <c r="K185" s="34">
        <v>26</v>
      </c>
      <c r="L185" s="34">
        <v>26</v>
      </c>
      <c r="M185" s="34">
        <v>30</v>
      </c>
      <c r="N185" s="34">
        <v>26</v>
      </c>
      <c r="O185" s="34">
        <v>27</v>
      </c>
      <c r="P185" s="26">
        <f t="shared" si="2"/>
        <v>26.7</v>
      </c>
    </row>
    <row r="186" ht="14.25" customHeight="1" spans="3:16">
      <c r="C186" s="12">
        <v>176</v>
      </c>
      <c r="D186" s="5" t="s">
        <v>377</v>
      </c>
      <c r="E186" s="13" t="s">
        <v>378</v>
      </c>
      <c r="F186" s="34">
        <v>26</v>
      </c>
      <c r="G186" s="34">
        <v>26</v>
      </c>
      <c r="H186" s="34">
        <v>26</v>
      </c>
      <c r="I186" s="34">
        <v>26</v>
      </c>
      <c r="J186" s="34">
        <v>28</v>
      </c>
      <c r="K186" s="34">
        <v>28</v>
      </c>
      <c r="L186" s="34">
        <v>28</v>
      </c>
      <c r="M186" s="34">
        <v>30</v>
      </c>
      <c r="N186" s="34">
        <v>28</v>
      </c>
      <c r="O186" s="34">
        <v>29</v>
      </c>
      <c r="P186" s="26">
        <f t="shared" si="2"/>
        <v>27.5</v>
      </c>
    </row>
    <row r="187" ht="14.25" customHeight="1" spans="3:16">
      <c r="C187" s="12">
        <v>177</v>
      </c>
      <c r="D187" s="5" t="s">
        <v>379</v>
      </c>
      <c r="E187" s="13" t="s">
        <v>380</v>
      </c>
      <c r="F187" s="34">
        <v>30</v>
      </c>
      <c r="G187" s="34">
        <v>27</v>
      </c>
      <c r="H187" s="34">
        <v>27</v>
      </c>
      <c r="I187" s="34">
        <v>30</v>
      </c>
      <c r="J187" s="34">
        <v>28</v>
      </c>
      <c r="K187" s="34">
        <v>30</v>
      </c>
      <c r="L187" s="34">
        <v>30</v>
      </c>
      <c r="M187" s="34">
        <v>30</v>
      </c>
      <c r="N187" s="34">
        <v>28</v>
      </c>
      <c r="O187" s="34">
        <v>29</v>
      </c>
      <c r="P187" s="26">
        <f t="shared" si="2"/>
        <v>28.9</v>
      </c>
    </row>
    <row r="188" ht="14.25" customHeight="1" spans="3:16">
      <c r="C188" s="12">
        <v>178</v>
      </c>
      <c r="D188" s="5" t="s">
        <v>381</v>
      </c>
      <c r="E188" s="13" t="s">
        <v>382</v>
      </c>
      <c r="F188" s="34">
        <v>30</v>
      </c>
      <c r="G188" s="34">
        <v>26</v>
      </c>
      <c r="H188" s="34">
        <v>27</v>
      </c>
      <c r="I188" s="34">
        <v>30</v>
      </c>
      <c r="J188" s="34">
        <v>28</v>
      </c>
      <c r="K188" s="34">
        <v>30</v>
      </c>
      <c r="L188" s="34">
        <v>28</v>
      </c>
      <c r="M188" s="34">
        <v>30</v>
      </c>
      <c r="N188" s="34">
        <v>28</v>
      </c>
      <c r="O188" s="34">
        <v>29</v>
      </c>
      <c r="P188" s="26">
        <f t="shared" si="2"/>
        <v>28.6</v>
      </c>
    </row>
    <row r="189" ht="14.25" customHeight="1" spans="3:16">
      <c r="C189" s="12">
        <v>179</v>
      </c>
      <c r="D189" s="5" t="s">
        <v>383</v>
      </c>
      <c r="E189" s="13" t="s">
        <v>384</v>
      </c>
      <c r="F189" s="34">
        <v>27</v>
      </c>
      <c r="G189" s="34">
        <v>26</v>
      </c>
      <c r="H189" s="34">
        <v>26</v>
      </c>
      <c r="I189" s="34">
        <v>26</v>
      </c>
      <c r="J189" s="34">
        <v>28</v>
      </c>
      <c r="K189" s="34">
        <v>30</v>
      </c>
      <c r="L189" s="34">
        <v>29</v>
      </c>
      <c r="M189" s="34">
        <v>28</v>
      </c>
      <c r="N189" s="34">
        <v>26</v>
      </c>
      <c r="O189" s="34">
        <v>27</v>
      </c>
      <c r="P189" s="26">
        <f t="shared" si="2"/>
        <v>27.3</v>
      </c>
    </row>
    <row r="190" ht="14.25" customHeight="1" spans="3:16">
      <c r="C190" s="12">
        <v>180</v>
      </c>
      <c r="D190" s="5" t="s">
        <v>385</v>
      </c>
      <c r="E190" s="13" t="s">
        <v>386</v>
      </c>
      <c r="F190" s="34">
        <v>30</v>
      </c>
      <c r="G190" s="34">
        <v>30</v>
      </c>
      <c r="H190" s="34">
        <v>27</v>
      </c>
      <c r="I190" s="34">
        <v>27</v>
      </c>
      <c r="J190" s="34">
        <v>28</v>
      </c>
      <c r="K190" s="34">
        <v>30</v>
      </c>
      <c r="L190" s="34">
        <v>30</v>
      </c>
      <c r="M190" s="34">
        <v>30</v>
      </c>
      <c r="N190" s="34">
        <v>28</v>
      </c>
      <c r="O190" s="34">
        <v>29</v>
      </c>
      <c r="P190" s="26">
        <f t="shared" si="2"/>
        <v>28.9</v>
      </c>
    </row>
    <row r="191" ht="14.25" customHeight="1" spans="3:16">
      <c r="C191" s="12">
        <v>181</v>
      </c>
      <c r="D191" s="5" t="s">
        <v>387</v>
      </c>
      <c r="E191" s="13" t="s">
        <v>388</v>
      </c>
      <c r="F191" s="34">
        <v>30</v>
      </c>
      <c r="G191" s="34">
        <v>30</v>
      </c>
      <c r="H191" s="34">
        <v>27</v>
      </c>
      <c r="I191" s="34">
        <v>27</v>
      </c>
      <c r="J191" s="34">
        <v>28</v>
      </c>
      <c r="K191" s="34">
        <v>30</v>
      </c>
      <c r="L191" s="34">
        <v>30</v>
      </c>
      <c r="M191" s="34">
        <v>30</v>
      </c>
      <c r="N191" s="34">
        <v>28</v>
      </c>
      <c r="O191" s="34">
        <v>29</v>
      </c>
      <c r="P191" s="26">
        <f t="shared" si="2"/>
        <v>28.9</v>
      </c>
    </row>
    <row r="192" ht="14.25" customHeight="1" spans="3:16">
      <c r="C192" s="12">
        <v>182</v>
      </c>
      <c r="D192" s="5" t="s">
        <v>389</v>
      </c>
      <c r="E192" s="13" t="s">
        <v>390</v>
      </c>
      <c r="F192" s="34">
        <v>30</v>
      </c>
      <c r="G192" s="34">
        <v>30</v>
      </c>
      <c r="H192" s="34">
        <v>29</v>
      </c>
      <c r="I192" s="34">
        <v>29</v>
      </c>
      <c r="J192" s="34">
        <v>28</v>
      </c>
      <c r="K192" s="34">
        <v>30</v>
      </c>
      <c r="L192" s="34">
        <v>27</v>
      </c>
      <c r="M192" s="34">
        <v>27</v>
      </c>
      <c r="N192" s="34">
        <v>26</v>
      </c>
      <c r="O192" s="34">
        <v>27</v>
      </c>
      <c r="P192" s="26">
        <f t="shared" si="2"/>
        <v>28.3</v>
      </c>
    </row>
    <row r="193" ht="14.25" customHeight="1" spans="3:16">
      <c r="C193" s="12">
        <v>183</v>
      </c>
      <c r="D193" s="5" t="s">
        <v>391</v>
      </c>
      <c r="E193" s="13" t="s">
        <v>392</v>
      </c>
      <c r="F193" s="34">
        <v>27</v>
      </c>
      <c r="G193" s="34">
        <v>29</v>
      </c>
      <c r="H193" s="34">
        <v>30</v>
      </c>
      <c r="I193" s="34">
        <v>29</v>
      </c>
      <c r="J193" s="34">
        <v>28</v>
      </c>
      <c r="K193" s="34">
        <v>27</v>
      </c>
      <c r="L193" s="34">
        <v>27</v>
      </c>
      <c r="M193" s="34">
        <v>27</v>
      </c>
      <c r="N193" s="34">
        <v>26</v>
      </c>
      <c r="O193" s="34">
        <v>27</v>
      </c>
      <c r="P193" s="26">
        <f t="shared" si="2"/>
        <v>27.7</v>
      </c>
    </row>
    <row r="194" ht="14.25" customHeight="1" spans="3:16">
      <c r="C194" s="12">
        <v>184</v>
      </c>
      <c r="D194" s="5" t="s">
        <v>393</v>
      </c>
      <c r="E194" s="13" t="s">
        <v>394</v>
      </c>
      <c r="F194" s="34">
        <v>29</v>
      </c>
      <c r="G194" s="34">
        <v>29</v>
      </c>
      <c r="H194" s="34">
        <v>30</v>
      </c>
      <c r="I194" s="34">
        <v>29</v>
      </c>
      <c r="J194" s="34">
        <v>28</v>
      </c>
      <c r="K194" s="34">
        <v>28</v>
      </c>
      <c r="L194" s="34">
        <v>27</v>
      </c>
      <c r="M194" s="34">
        <v>27</v>
      </c>
      <c r="N194" s="34">
        <v>28</v>
      </c>
      <c r="O194" s="34">
        <v>29</v>
      </c>
      <c r="P194" s="26">
        <f t="shared" si="2"/>
        <v>28.4</v>
      </c>
    </row>
    <row r="195" ht="14.25" customHeight="1" spans="3:16">
      <c r="C195" s="12">
        <v>185</v>
      </c>
      <c r="D195" s="5" t="s">
        <v>395</v>
      </c>
      <c r="E195" s="13" t="s">
        <v>396</v>
      </c>
      <c r="F195" s="34">
        <v>30</v>
      </c>
      <c r="G195" s="34">
        <v>30</v>
      </c>
      <c r="H195" s="34">
        <v>27</v>
      </c>
      <c r="I195" s="34">
        <v>27</v>
      </c>
      <c r="J195" s="34">
        <v>28</v>
      </c>
      <c r="K195" s="34">
        <v>30</v>
      </c>
      <c r="L195" s="34">
        <v>29</v>
      </c>
      <c r="M195" s="34">
        <v>29</v>
      </c>
      <c r="N195" s="34">
        <v>28</v>
      </c>
      <c r="O195" s="34">
        <v>29</v>
      </c>
      <c r="P195" s="26">
        <f t="shared" si="2"/>
        <v>28.7</v>
      </c>
    </row>
    <row r="196" ht="14.25" customHeight="1" spans="3:16">
      <c r="C196" s="12">
        <v>186</v>
      </c>
      <c r="D196" s="5" t="s">
        <v>397</v>
      </c>
      <c r="E196" s="13" t="s">
        <v>398</v>
      </c>
      <c r="F196" s="34">
        <v>26</v>
      </c>
      <c r="G196" s="34">
        <v>27</v>
      </c>
      <c r="H196" s="34">
        <v>28</v>
      </c>
      <c r="I196" s="34">
        <v>29</v>
      </c>
      <c r="J196" s="34">
        <v>28</v>
      </c>
      <c r="K196" s="34">
        <v>29</v>
      </c>
      <c r="L196" s="34">
        <v>27</v>
      </c>
      <c r="M196" s="34">
        <v>27</v>
      </c>
      <c r="N196" s="34">
        <v>26</v>
      </c>
      <c r="O196" s="34">
        <v>27</v>
      </c>
      <c r="P196" s="26">
        <f t="shared" si="2"/>
        <v>27.4</v>
      </c>
    </row>
    <row r="197" ht="14.25" customHeight="1" spans="3:16">
      <c r="C197" s="12">
        <v>187</v>
      </c>
      <c r="D197" s="5" t="s">
        <v>399</v>
      </c>
      <c r="E197" s="13" t="s">
        <v>400</v>
      </c>
      <c r="F197" s="34">
        <v>30</v>
      </c>
      <c r="G197" s="34">
        <v>27</v>
      </c>
      <c r="H197" s="34">
        <v>27</v>
      </c>
      <c r="I197" s="34">
        <v>27</v>
      </c>
      <c r="J197" s="34">
        <v>27</v>
      </c>
      <c r="K197" s="34">
        <v>29</v>
      </c>
      <c r="L197" s="34">
        <v>27</v>
      </c>
      <c r="M197" s="34">
        <v>27</v>
      </c>
      <c r="N197" s="34">
        <v>26</v>
      </c>
      <c r="O197" s="34">
        <v>27</v>
      </c>
      <c r="P197" s="26">
        <f t="shared" si="2"/>
        <v>27.4</v>
      </c>
    </row>
    <row r="198" ht="14.25" customHeight="1" spans="3:16">
      <c r="C198" s="12">
        <v>188</v>
      </c>
      <c r="D198" s="5" t="s">
        <v>401</v>
      </c>
      <c r="E198" s="13" t="s">
        <v>402</v>
      </c>
      <c r="F198" s="34">
        <v>26</v>
      </c>
      <c r="G198" s="34">
        <v>26</v>
      </c>
      <c r="H198" s="34">
        <v>26</v>
      </c>
      <c r="I198" s="34">
        <v>26</v>
      </c>
      <c r="J198" s="34">
        <v>26</v>
      </c>
      <c r="K198" s="34">
        <v>28</v>
      </c>
      <c r="L198" s="34">
        <v>27</v>
      </c>
      <c r="M198" s="34">
        <v>27</v>
      </c>
      <c r="N198" s="34">
        <v>26</v>
      </c>
      <c r="O198" s="34">
        <v>27</v>
      </c>
      <c r="P198" s="26">
        <f t="shared" si="2"/>
        <v>26.5</v>
      </c>
    </row>
    <row r="199" ht="14.25" customHeight="1" spans="3:16">
      <c r="C199" s="12">
        <v>189</v>
      </c>
      <c r="D199" s="5" t="s">
        <v>403</v>
      </c>
      <c r="E199" s="13" t="s">
        <v>404</v>
      </c>
      <c r="F199" s="34">
        <v>30</v>
      </c>
      <c r="G199" s="34">
        <v>27</v>
      </c>
      <c r="H199" s="34">
        <v>27</v>
      </c>
      <c r="I199" s="34">
        <v>30</v>
      </c>
      <c r="J199" s="34">
        <v>27</v>
      </c>
      <c r="K199" s="34">
        <v>29</v>
      </c>
      <c r="L199" s="34">
        <v>28</v>
      </c>
      <c r="M199" s="34">
        <v>27</v>
      </c>
      <c r="N199" s="34">
        <v>26</v>
      </c>
      <c r="O199" s="34">
        <v>27</v>
      </c>
      <c r="P199" s="26">
        <f t="shared" si="2"/>
        <v>27.8</v>
      </c>
    </row>
    <row r="200" ht="14.25" customHeight="1" spans="3:16">
      <c r="C200" s="12">
        <v>190</v>
      </c>
      <c r="D200" s="4" t="s">
        <v>405</v>
      </c>
      <c r="E200" s="14" t="s">
        <v>406</v>
      </c>
      <c r="F200" s="34">
        <v>30</v>
      </c>
      <c r="G200" s="34">
        <v>30</v>
      </c>
      <c r="H200" s="34">
        <v>29</v>
      </c>
      <c r="I200" s="34">
        <v>29</v>
      </c>
      <c r="J200" s="34">
        <v>30</v>
      </c>
      <c r="K200" s="34">
        <v>28</v>
      </c>
      <c r="L200" s="34">
        <v>30</v>
      </c>
      <c r="M200" s="34">
        <v>29</v>
      </c>
      <c r="N200" s="34">
        <v>28</v>
      </c>
      <c r="O200" s="34">
        <v>29</v>
      </c>
      <c r="P200" s="26">
        <f t="shared" si="2"/>
        <v>29.2</v>
      </c>
    </row>
    <row r="201" ht="14.25" customHeight="1" spans="3:16">
      <c r="C201" s="12">
        <v>191</v>
      </c>
      <c r="D201" s="4" t="s">
        <v>407</v>
      </c>
      <c r="E201" s="14" t="s">
        <v>408</v>
      </c>
      <c r="F201" s="34">
        <v>30</v>
      </c>
      <c r="G201" s="34">
        <v>30</v>
      </c>
      <c r="H201" s="34">
        <v>29</v>
      </c>
      <c r="I201" s="34">
        <v>29</v>
      </c>
      <c r="J201" s="34">
        <v>30</v>
      </c>
      <c r="K201" s="34">
        <v>28</v>
      </c>
      <c r="L201" s="34">
        <v>30</v>
      </c>
      <c r="M201" s="34">
        <v>29</v>
      </c>
      <c r="N201" s="34">
        <v>28</v>
      </c>
      <c r="O201" s="34">
        <v>29</v>
      </c>
      <c r="P201" s="26">
        <f t="shared" si="2"/>
        <v>29.2</v>
      </c>
    </row>
    <row r="202" ht="14.25" customHeight="1" spans="3:16">
      <c r="C202" s="12">
        <v>192</v>
      </c>
      <c r="D202" s="4" t="s">
        <v>409</v>
      </c>
      <c r="E202" s="14" t="s">
        <v>410</v>
      </c>
      <c r="F202" s="34">
        <v>26</v>
      </c>
      <c r="G202" s="34">
        <v>26</v>
      </c>
      <c r="H202" s="34">
        <v>29</v>
      </c>
      <c r="I202" s="34">
        <v>29</v>
      </c>
      <c r="J202" s="34">
        <v>26</v>
      </c>
      <c r="K202" s="34">
        <v>28</v>
      </c>
      <c r="L202" s="34">
        <v>28</v>
      </c>
      <c r="M202" s="34">
        <v>27</v>
      </c>
      <c r="N202" s="34">
        <v>26</v>
      </c>
      <c r="O202" s="34">
        <v>27</v>
      </c>
      <c r="P202" s="26">
        <f t="shared" si="2"/>
        <v>27.2</v>
      </c>
    </row>
    <row r="203" ht="14.25" customHeight="1" spans="3:16">
      <c r="C203" s="12">
        <v>193</v>
      </c>
      <c r="D203" s="4" t="s">
        <v>411</v>
      </c>
      <c r="E203" s="14" t="s">
        <v>412</v>
      </c>
      <c r="F203" s="34">
        <v>29</v>
      </c>
      <c r="G203" s="34">
        <v>30</v>
      </c>
      <c r="H203" s="34">
        <v>29</v>
      </c>
      <c r="I203" s="34">
        <v>27</v>
      </c>
      <c r="J203" s="34">
        <v>29</v>
      </c>
      <c r="K203" s="34">
        <v>30</v>
      </c>
      <c r="L203" s="34">
        <v>29</v>
      </c>
      <c r="M203" s="34">
        <v>29</v>
      </c>
      <c r="N203" s="34">
        <v>29</v>
      </c>
      <c r="O203" s="34">
        <v>29</v>
      </c>
      <c r="P203" s="26">
        <f t="shared" ref="P203:P217" si="3">AVERAGE(F203:O203)</f>
        <v>29</v>
      </c>
    </row>
    <row r="204" ht="14.25" customHeight="1" spans="3:16">
      <c r="C204" s="12">
        <v>194</v>
      </c>
      <c r="D204" s="4" t="s">
        <v>413</v>
      </c>
      <c r="E204" s="14" t="s">
        <v>414</v>
      </c>
      <c r="F204" s="34">
        <v>26</v>
      </c>
      <c r="G204" s="34">
        <v>27</v>
      </c>
      <c r="H204" s="34">
        <v>27</v>
      </c>
      <c r="I204" s="34">
        <v>30</v>
      </c>
      <c r="J204" s="34">
        <v>26</v>
      </c>
      <c r="K204" s="34">
        <v>28</v>
      </c>
      <c r="L204" s="34">
        <v>27</v>
      </c>
      <c r="M204" s="34">
        <v>27</v>
      </c>
      <c r="N204" s="34">
        <v>26</v>
      </c>
      <c r="O204" s="34">
        <v>27</v>
      </c>
      <c r="P204" s="26">
        <f t="shared" si="3"/>
        <v>27.1</v>
      </c>
    </row>
    <row r="205" ht="14.25" customHeight="1" spans="3:16">
      <c r="C205" s="12">
        <v>195</v>
      </c>
      <c r="D205" s="4" t="s">
        <v>415</v>
      </c>
      <c r="E205" s="14" t="s">
        <v>416</v>
      </c>
      <c r="F205" s="34">
        <v>28</v>
      </c>
      <c r="G205" s="34">
        <v>30</v>
      </c>
      <c r="H205" s="34">
        <v>29</v>
      </c>
      <c r="I205" s="34">
        <v>29</v>
      </c>
      <c r="J205" s="34">
        <v>29</v>
      </c>
      <c r="K205" s="34">
        <v>28</v>
      </c>
      <c r="L205" s="34">
        <v>29</v>
      </c>
      <c r="M205" s="34">
        <v>29</v>
      </c>
      <c r="N205" s="34">
        <v>29</v>
      </c>
      <c r="O205" s="34">
        <v>29</v>
      </c>
      <c r="P205" s="26">
        <f t="shared" si="3"/>
        <v>28.9</v>
      </c>
    </row>
    <row r="206" ht="14.25" customHeight="1" spans="3:16">
      <c r="C206" s="12">
        <v>196</v>
      </c>
      <c r="D206" s="4" t="s">
        <v>417</v>
      </c>
      <c r="E206" s="14" t="s">
        <v>418</v>
      </c>
      <c r="F206" s="34">
        <v>30</v>
      </c>
      <c r="G206" s="34">
        <v>30</v>
      </c>
      <c r="H206" s="34">
        <v>30</v>
      </c>
      <c r="I206" s="34">
        <v>30</v>
      </c>
      <c r="J206" s="34">
        <v>27</v>
      </c>
      <c r="K206" s="34">
        <v>29</v>
      </c>
      <c r="L206" s="34">
        <v>30</v>
      </c>
      <c r="M206" s="34">
        <v>30</v>
      </c>
      <c r="N206" s="34">
        <v>30</v>
      </c>
      <c r="O206" s="34">
        <v>30</v>
      </c>
      <c r="P206" s="26">
        <f t="shared" si="3"/>
        <v>29.6</v>
      </c>
    </row>
    <row r="207" ht="14.25" customHeight="1" spans="3:16">
      <c r="C207" s="12">
        <v>197</v>
      </c>
      <c r="D207" s="4" t="s">
        <v>419</v>
      </c>
      <c r="E207" s="14" t="s">
        <v>420</v>
      </c>
      <c r="F207" s="34">
        <v>30</v>
      </c>
      <c r="G207" s="34">
        <v>30</v>
      </c>
      <c r="H207" s="34">
        <v>30</v>
      </c>
      <c r="I207" s="34">
        <v>30</v>
      </c>
      <c r="J207" s="34">
        <v>27</v>
      </c>
      <c r="K207" s="34">
        <v>28</v>
      </c>
      <c r="L207" s="34">
        <v>30</v>
      </c>
      <c r="M207" s="34">
        <v>30</v>
      </c>
      <c r="N207" s="34">
        <v>28</v>
      </c>
      <c r="O207" s="34">
        <v>30</v>
      </c>
      <c r="P207" s="26">
        <f t="shared" si="3"/>
        <v>29.3</v>
      </c>
    </row>
    <row r="208" ht="14.25" customHeight="1" spans="3:16">
      <c r="C208" s="12">
        <v>198</v>
      </c>
      <c r="D208" s="4" t="s">
        <v>421</v>
      </c>
      <c r="E208" s="14" t="s">
        <v>422</v>
      </c>
      <c r="F208" s="34">
        <v>28</v>
      </c>
      <c r="G208" s="34">
        <v>29</v>
      </c>
      <c r="H208" s="34">
        <v>29</v>
      </c>
      <c r="I208" s="34">
        <v>27</v>
      </c>
      <c r="J208" s="34">
        <v>25</v>
      </c>
      <c r="K208" s="34">
        <v>25</v>
      </c>
      <c r="L208" s="34">
        <v>26</v>
      </c>
      <c r="M208" s="34">
        <v>26</v>
      </c>
      <c r="N208" s="34">
        <v>26</v>
      </c>
      <c r="O208" s="34">
        <v>25</v>
      </c>
      <c r="P208" s="26">
        <f t="shared" si="3"/>
        <v>26.6</v>
      </c>
    </row>
    <row r="209" ht="14.25" customHeight="1" spans="3:16">
      <c r="C209" s="12">
        <v>199</v>
      </c>
      <c r="D209" s="4" t="s">
        <v>423</v>
      </c>
      <c r="E209" s="14" t="s">
        <v>424</v>
      </c>
      <c r="F209" s="34">
        <v>27</v>
      </c>
      <c r="G209" s="34">
        <v>27</v>
      </c>
      <c r="H209" s="34">
        <v>27</v>
      </c>
      <c r="I209" s="34">
        <v>27</v>
      </c>
      <c r="J209" s="34">
        <v>26</v>
      </c>
      <c r="K209" s="34">
        <v>26</v>
      </c>
      <c r="L209" s="34">
        <v>25</v>
      </c>
      <c r="M209" s="34">
        <v>25</v>
      </c>
      <c r="N209" s="34">
        <v>25</v>
      </c>
      <c r="O209" s="34">
        <v>26</v>
      </c>
      <c r="P209" s="26">
        <f t="shared" si="3"/>
        <v>26.1</v>
      </c>
    </row>
    <row r="210" ht="14.25" customHeight="1" spans="3:16">
      <c r="C210" s="12">
        <v>200</v>
      </c>
      <c r="D210" s="4" t="s">
        <v>425</v>
      </c>
      <c r="E210" s="14" t="s">
        <v>426</v>
      </c>
      <c r="F210" s="34">
        <v>26</v>
      </c>
      <c r="G210" s="34">
        <v>27</v>
      </c>
      <c r="H210" s="34">
        <v>27</v>
      </c>
      <c r="I210" s="34">
        <v>29</v>
      </c>
      <c r="J210" s="34">
        <v>28</v>
      </c>
      <c r="K210" s="34">
        <v>30</v>
      </c>
      <c r="L210" s="34">
        <v>29</v>
      </c>
      <c r="M210" s="34">
        <v>29</v>
      </c>
      <c r="N210" s="34">
        <v>28</v>
      </c>
      <c r="O210" s="34">
        <v>29</v>
      </c>
      <c r="P210" s="26">
        <f t="shared" si="3"/>
        <v>28.2</v>
      </c>
    </row>
    <row r="211" ht="14.25" customHeight="1" spans="3:16">
      <c r="C211" s="12">
        <v>201</v>
      </c>
      <c r="D211" s="4" t="s">
        <v>427</v>
      </c>
      <c r="E211" s="14" t="s">
        <v>428</v>
      </c>
      <c r="F211" s="34">
        <v>30</v>
      </c>
      <c r="G211" s="34">
        <v>30</v>
      </c>
      <c r="H211" s="34">
        <v>30</v>
      </c>
      <c r="I211" s="34">
        <v>30</v>
      </c>
      <c r="J211" s="34">
        <v>28</v>
      </c>
      <c r="K211" s="34">
        <v>28</v>
      </c>
      <c r="L211" s="34">
        <v>28</v>
      </c>
      <c r="M211" s="34">
        <v>30</v>
      </c>
      <c r="N211" s="34">
        <v>30</v>
      </c>
      <c r="O211" s="34">
        <v>30</v>
      </c>
      <c r="P211" s="26">
        <f t="shared" si="3"/>
        <v>29.4</v>
      </c>
    </row>
    <row r="212" ht="14.25" customHeight="1" spans="3:16">
      <c r="C212" s="12">
        <v>202</v>
      </c>
      <c r="D212" s="4" t="s">
        <v>429</v>
      </c>
      <c r="E212" s="14" t="s">
        <v>430</v>
      </c>
      <c r="F212" s="34">
        <v>30</v>
      </c>
      <c r="G212" s="34">
        <v>30</v>
      </c>
      <c r="H212" s="34">
        <v>30</v>
      </c>
      <c r="I212" s="34">
        <v>30</v>
      </c>
      <c r="J212" s="34">
        <v>28</v>
      </c>
      <c r="K212" s="34">
        <v>28</v>
      </c>
      <c r="L212" s="34">
        <v>28</v>
      </c>
      <c r="M212" s="34">
        <v>30</v>
      </c>
      <c r="N212" s="34">
        <v>30</v>
      </c>
      <c r="O212" s="34">
        <v>30</v>
      </c>
      <c r="P212" s="26">
        <f t="shared" si="3"/>
        <v>29.4</v>
      </c>
    </row>
    <row r="213" ht="14.25" customHeight="1" spans="3:16">
      <c r="C213" s="12">
        <v>203</v>
      </c>
      <c r="D213" s="4" t="s">
        <v>431</v>
      </c>
      <c r="E213" s="14" t="s">
        <v>432</v>
      </c>
      <c r="F213" s="34">
        <v>30</v>
      </c>
      <c r="G213" s="34">
        <v>30</v>
      </c>
      <c r="H213" s="34">
        <v>30</v>
      </c>
      <c r="I213" s="34">
        <v>30</v>
      </c>
      <c r="J213" s="34">
        <v>30</v>
      </c>
      <c r="K213" s="34">
        <v>30</v>
      </c>
      <c r="L213" s="34">
        <v>30</v>
      </c>
      <c r="M213" s="34">
        <v>30</v>
      </c>
      <c r="N213" s="34">
        <v>30</v>
      </c>
      <c r="O213" s="34">
        <v>30</v>
      </c>
      <c r="P213" s="26">
        <f t="shared" si="3"/>
        <v>30</v>
      </c>
    </row>
    <row r="214" ht="14.25" customHeight="1" spans="3:16">
      <c r="C214" s="12">
        <v>204</v>
      </c>
      <c r="D214" s="4" t="s">
        <v>433</v>
      </c>
      <c r="E214" s="14" t="s">
        <v>434</v>
      </c>
      <c r="F214" s="34">
        <v>30</v>
      </c>
      <c r="G214" s="34">
        <v>30</v>
      </c>
      <c r="H214" s="34">
        <v>30</v>
      </c>
      <c r="I214" s="34">
        <v>30</v>
      </c>
      <c r="J214" s="34">
        <v>30</v>
      </c>
      <c r="K214" s="34">
        <v>30</v>
      </c>
      <c r="L214" s="34">
        <v>26</v>
      </c>
      <c r="M214" s="34">
        <v>26</v>
      </c>
      <c r="N214" s="34">
        <v>30</v>
      </c>
      <c r="O214" s="34">
        <v>30</v>
      </c>
      <c r="P214" s="26">
        <f t="shared" si="3"/>
        <v>29.2</v>
      </c>
    </row>
    <row r="215" ht="14.25" customHeight="1" spans="3:16">
      <c r="C215" s="12">
        <v>205</v>
      </c>
      <c r="D215" s="4" t="s">
        <v>435</v>
      </c>
      <c r="E215" s="14" t="s">
        <v>436</v>
      </c>
      <c r="F215" s="34">
        <v>29</v>
      </c>
      <c r="G215" s="34">
        <v>29</v>
      </c>
      <c r="H215" s="34">
        <v>28</v>
      </c>
      <c r="I215" s="34">
        <v>27</v>
      </c>
      <c r="J215" s="34">
        <v>29</v>
      </c>
      <c r="K215" s="34">
        <v>27</v>
      </c>
      <c r="L215" s="34">
        <v>28</v>
      </c>
      <c r="M215" s="34">
        <v>29</v>
      </c>
      <c r="N215" s="34">
        <v>26</v>
      </c>
      <c r="O215" s="34">
        <v>27</v>
      </c>
      <c r="P215" s="26">
        <f t="shared" si="3"/>
        <v>27.9</v>
      </c>
    </row>
    <row r="216" ht="14.25" customHeight="1" spans="3:16">
      <c r="C216" s="12">
        <v>206</v>
      </c>
      <c r="D216" s="4" t="s">
        <v>437</v>
      </c>
      <c r="E216" s="14" t="s">
        <v>438</v>
      </c>
      <c r="F216" s="34">
        <v>29</v>
      </c>
      <c r="G216" s="34">
        <v>29</v>
      </c>
      <c r="H216" s="34">
        <v>28</v>
      </c>
      <c r="I216" s="34">
        <v>27</v>
      </c>
      <c r="J216" s="34">
        <v>28</v>
      </c>
      <c r="K216" s="34">
        <v>28</v>
      </c>
      <c r="L216" s="34">
        <v>26</v>
      </c>
      <c r="M216" s="34">
        <v>27</v>
      </c>
      <c r="N216" s="34">
        <v>27</v>
      </c>
      <c r="O216" s="34">
        <v>28</v>
      </c>
      <c r="P216" s="26">
        <f t="shared" si="3"/>
        <v>27.7</v>
      </c>
    </row>
    <row r="217" ht="14.25" customHeight="1" spans="3:16">
      <c r="C217" s="12">
        <v>207</v>
      </c>
      <c r="D217" s="4" t="s">
        <v>439</v>
      </c>
      <c r="E217" s="14" t="s">
        <v>440</v>
      </c>
      <c r="F217" s="34">
        <v>28</v>
      </c>
      <c r="G217" s="34">
        <v>29</v>
      </c>
      <c r="H217" s="34">
        <v>29</v>
      </c>
      <c r="I217" s="34">
        <v>26</v>
      </c>
      <c r="J217" s="34">
        <v>30</v>
      </c>
      <c r="K217" s="34">
        <v>30</v>
      </c>
      <c r="L217" s="34">
        <v>28</v>
      </c>
      <c r="M217" s="34">
        <v>28</v>
      </c>
      <c r="N217" s="34">
        <v>29</v>
      </c>
      <c r="O217" s="34">
        <v>29</v>
      </c>
      <c r="P217" s="26">
        <f t="shared" si="3"/>
        <v>28.6</v>
      </c>
    </row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  <row r="1006" ht="14.25" customHeight="1"/>
    <row r="1007" ht="14.25" customHeight="1"/>
    <row r="1008" ht="14.25" customHeight="1"/>
    <row r="1009" ht="14.25" customHeight="1"/>
    <row r="1010" ht="14.25" customHeight="1"/>
    <row r="1011" ht="14.25" customHeight="1"/>
    <row r="1012" ht="14.25" customHeight="1"/>
    <row r="1013" ht="14.25" customHeight="1"/>
    <row r="1014" ht="14.25" customHeight="1"/>
    <row r="1015" ht="14.25" customHeight="1"/>
    <row r="1016" ht="14.25" customHeight="1"/>
    <row r="1017" ht="14.25" customHeight="1"/>
    <row r="1018" ht="14.25" customHeight="1"/>
    <row r="1019" ht="14.25" customHeight="1"/>
    <row r="1020" ht="14.25" customHeight="1"/>
    <row r="1021" ht="14.25" customHeight="1"/>
    <row r="1022" ht="14.25" customHeight="1"/>
    <row r="1023" ht="14.25" customHeight="1"/>
    <row r="1024" ht="14.25" customHeight="1"/>
    <row r="1025" ht="14.25" customHeight="1"/>
    <row r="1026" ht="14.25" customHeight="1"/>
    <row r="1027" ht="14.25" customHeight="1"/>
    <row r="1028" ht="14.25" customHeight="1"/>
    <row r="1029" ht="14.25" customHeight="1"/>
    <row r="1030" ht="14.25" customHeight="1"/>
    <row r="1031" ht="14.25" customHeight="1"/>
    <row r="1032" ht="14.25" customHeight="1"/>
    <row r="1033" ht="14.25" customHeight="1"/>
    <row r="1034" ht="14.25" customHeight="1"/>
    <row r="1035" ht="14.25" customHeight="1"/>
    <row r="1036" ht="14.25" customHeight="1"/>
    <row r="1037" ht="14.25" customHeight="1"/>
    <row r="1038" ht="14.25" customHeight="1"/>
    <row r="1039" ht="14.25" customHeight="1"/>
    <row r="1040" ht="14.25" customHeight="1"/>
    <row r="1041" ht="14.25" customHeight="1"/>
    <row r="1042" ht="14.25" customHeight="1"/>
    <row r="1043" ht="14.25" customHeight="1"/>
  </sheetData>
  <mergeCells count="5">
    <mergeCell ref="C6:P6"/>
    <mergeCell ref="C7:P7"/>
    <mergeCell ref="D8:E8"/>
    <mergeCell ref="I8:J8"/>
    <mergeCell ref="I9:J9"/>
  </mergeCells>
  <pageMargins left="0.7" right="0.7" top="0.75" bottom="0.75" header="0" footer="0"/>
  <pageSetup paperSize="1" orientation="portrait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995"/>
  <sheetViews>
    <sheetView zoomScale="97" zoomScaleNormal="97" topLeftCell="B171" workbookViewId="0">
      <pane xSplit="4" topLeftCell="F1" activePane="topRight" state="frozen"/>
      <selection/>
      <selection pane="topRight" activeCell="L203" sqref="L203"/>
    </sheetView>
  </sheetViews>
  <sheetFormatPr defaultColWidth="14.4285714285714" defaultRowHeight="15" customHeight="1"/>
  <cols>
    <col min="1" max="2" width="8.71428571428571" customWidth="1"/>
    <col min="3" max="3" width="6.28571428571429" customWidth="1"/>
    <col min="4" max="4" width="16" customWidth="1"/>
    <col min="5" max="5" width="29" customWidth="1"/>
    <col min="6" max="10" width="16.7142857142857" customWidth="1"/>
    <col min="11" max="25" width="8.71428571428571" customWidth="1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 spans="3:10">
      <c r="C6" s="17" t="s">
        <v>450</v>
      </c>
      <c r="D6" s="17"/>
      <c r="E6" s="17"/>
      <c r="F6" s="17"/>
      <c r="G6" s="17"/>
      <c r="H6" s="17"/>
      <c r="I6" s="17"/>
      <c r="J6" s="17"/>
    </row>
    <row r="7" ht="14.25" customHeight="1" spans="3:10">
      <c r="C7" s="17" t="s">
        <v>465</v>
      </c>
      <c r="D7" s="17"/>
      <c r="E7" s="17"/>
      <c r="F7" s="17"/>
      <c r="G7" s="17"/>
      <c r="H7" s="17"/>
      <c r="I7" s="17"/>
      <c r="J7" s="17"/>
    </row>
    <row r="8" ht="14.25" customHeight="1" spans="1:25">
      <c r="A8" s="19"/>
      <c r="B8" s="19"/>
      <c r="C8" s="19"/>
      <c r="D8" s="20" t="s">
        <v>452</v>
      </c>
      <c r="F8" s="19"/>
      <c r="G8" s="19"/>
      <c r="H8" s="18" t="s">
        <v>453</v>
      </c>
      <c r="I8" s="21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</row>
    <row r="9" ht="14.25" customHeight="1" spans="1:25">
      <c r="A9" s="19"/>
      <c r="B9" s="19"/>
      <c r="C9" s="19"/>
      <c r="D9" s="22"/>
      <c r="E9" s="23"/>
      <c r="F9" s="19"/>
      <c r="G9" s="19"/>
      <c r="H9" s="19"/>
      <c r="I9" s="21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</row>
    <row r="10" ht="14.25" customHeight="1" spans="1:25">
      <c r="A10" s="24"/>
      <c r="B10" s="24"/>
      <c r="C10" s="12" t="s">
        <v>443</v>
      </c>
      <c r="D10" s="12" t="s">
        <v>6</v>
      </c>
      <c r="E10" s="12" t="s">
        <v>7</v>
      </c>
      <c r="F10" s="12" t="s">
        <v>466</v>
      </c>
      <c r="G10" s="12" t="s">
        <v>467</v>
      </c>
      <c r="H10" s="12" t="s">
        <v>468</v>
      </c>
      <c r="I10" s="12" t="s">
        <v>469</v>
      </c>
      <c r="J10" s="32" t="s">
        <v>470</v>
      </c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</row>
    <row r="11" ht="14.25" customHeight="1" spans="3:10">
      <c r="C11" s="25">
        <v>1</v>
      </c>
      <c r="D11" s="5" t="s">
        <v>26</v>
      </c>
      <c r="E11" s="13" t="s">
        <v>27</v>
      </c>
      <c r="F11" s="29">
        <v>8</v>
      </c>
      <c r="G11" s="29">
        <v>30</v>
      </c>
      <c r="H11" s="29">
        <v>6</v>
      </c>
      <c r="I11" s="29">
        <f t="shared" ref="I11:I74" si="0">SUM(F11:H11)</f>
        <v>44</v>
      </c>
      <c r="J11" s="33">
        <f>I11*0.4</f>
        <v>17.6</v>
      </c>
    </row>
    <row r="12" ht="14.25" customHeight="1" spans="3:10">
      <c r="C12" s="25">
        <v>2</v>
      </c>
      <c r="D12" s="5" t="s">
        <v>28</v>
      </c>
      <c r="E12" s="13" t="s">
        <v>29</v>
      </c>
      <c r="F12" s="29">
        <v>8</v>
      </c>
      <c r="G12" s="29">
        <v>34</v>
      </c>
      <c r="H12" s="29">
        <v>6</v>
      </c>
      <c r="I12" s="29">
        <f t="shared" si="0"/>
        <v>48</v>
      </c>
      <c r="J12" s="33">
        <f t="shared" ref="J12:J75" si="1">I12*0.4</f>
        <v>19.2</v>
      </c>
    </row>
    <row r="13" ht="14.25" customHeight="1" spans="3:10">
      <c r="C13" s="25">
        <v>3</v>
      </c>
      <c r="D13" s="5" t="s">
        <v>30</v>
      </c>
      <c r="E13" s="13" t="s">
        <v>31</v>
      </c>
      <c r="F13" s="29">
        <v>8</v>
      </c>
      <c r="G13" s="29">
        <v>34</v>
      </c>
      <c r="H13" s="29">
        <v>6</v>
      </c>
      <c r="I13" s="29">
        <f t="shared" si="0"/>
        <v>48</v>
      </c>
      <c r="J13" s="33">
        <f t="shared" si="1"/>
        <v>19.2</v>
      </c>
    </row>
    <row r="14" ht="14.25" customHeight="1" spans="3:10">
      <c r="C14" s="25">
        <v>4</v>
      </c>
      <c r="D14" s="5" t="s">
        <v>32</v>
      </c>
      <c r="E14" s="13" t="s">
        <v>33</v>
      </c>
      <c r="F14" s="29">
        <v>8</v>
      </c>
      <c r="G14" s="29">
        <v>35</v>
      </c>
      <c r="H14" s="29">
        <v>7</v>
      </c>
      <c r="I14" s="29">
        <f t="shared" si="0"/>
        <v>50</v>
      </c>
      <c r="J14" s="33">
        <f t="shared" si="1"/>
        <v>20</v>
      </c>
    </row>
    <row r="15" ht="14.25" customHeight="1" spans="3:10">
      <c r="C15" s="25">
        <v>5</v>
      </c>
      <c r="D15" s="5" t="s">
        <v>34</v>
      </c>
      <c r="E15" s="13" t="s">
        <v>35</v>
      </c>
      <c r="F15" s="30">
        <v>8</v>
      </c>
      <c r="G15" s="30">
        <v>32</v>
      </c>
      <c r="H15" s="30">
        <v>4</v>
      </c>
      <c r="I15" s="29">
        <f t="shared" si="0"/>
        <v>44</v>
      </c>
      <c r="J15" s="33">
        <f t="shared" si="1"/>
        <v>17.6</v>
      </c>
    </row>
    <row r="16" ht="14.25" customHeight="1" spans="3:10">
      <c r="C16" s="25">
        <v>6</v>
      </c>
      <c r="D16" s="5" t="s">
        <v>36</v>
      </c>
      <c r="E16" s="13" t="s">
        <v>37</v>
      </c>
      <c r="F16" s="29">
        <v>8</v>
      </c>
      <c r="G16" s="29">
        <v>34</v>
      </c>
      <c r="H16" s="29">
        <v>6</v>
      </c>
      <c r="I16" s="29">
        <f t="shared" si="0"/>
        <v>48</v>
      </c>
      <c r="J16" s="33">
        <f t="shared" si="1"/>
        <v>19.2</v>
      </c>
    </row>
    <row r="17" ht="14.25" customHeight="1" spans="3:10">
      <c r="C17" s="25">
        <v>7</v>
      </c>
      <c r="D17" s="5" t="s">
        <v>38</v>
      </c>
      <c r="E17" s="13" t="s">
        <v>39</v>
      </c>
      <c r="F17" s="29">
        <v>8</v>
      </c>
      <c r="G17" s="29">
        <v>33</v>
      </c>
      <c r="H17" s="29">
        <v>5</v>
      </c>
      <c r="I17" s="29">
        <f t="shared" si="0"/>
        <v>46</v>
      </c>
      <c r="J17" s="33">
        <f t="shared" si="1"/>
        <v>18.4</v>
      </c>
    </row>
    <row r="18" ht="14.25" customHeight="1" spans="3:10">
      <c r="C18" s="25">
        <v>8</v>
      </c>
      <c r="D18" s="5" t="s">
        <v>40</v>
      </c>
      <c r="E18" s="13" t="s">
        <v>41</v>
      </c>
      <c r="F18" s="29">
        <v>8</v>
      </c>
      <c r="G18" s="29">
        <v>34</v>
      </c>
      <c r="H18" s="29">
        <v>6</v>
      </c>
      <c r="I18" s="29">
        <f t="shared" si="0"/>
        <v>48</v>
      </c>
      <c r="J18" s="33">
        <f t="shared" si="1"/>
        <v>19.2</v>
      </c>
    </row>
    <row r="19" ht="14.25" customHeight="1" spans="3:10">
      <c r="C19" s="25">
        <v>9</v>
      </c>
      <c r="D19" s="5" t="s">
        <v>42</v>
      </c>
      <c r="E19" s="13" t="s">
        <v>43</v>
      </c>
      <c r="F19" s="29">
        <v>4</v>
      </c>
      <c r="G19" s="29">
        <v>35</v>
      </c>
      <c r="H19" s="29">
        <v>6</v>
      </c>
      <c r="I19" s="29">
        <f t="shared" si="0"/>
        <v>45</v>
      </c>
      <c r="J19" s="33">
        <f t="shared" si="1"/>
        <v>18</v>
      </c>
    </row>
    <row r="20" ht="14.25" customHeight="1" spans="3:10">
      <c r="C20" s="25">
        <v>10</v>
      </c>
      <c r="D20" s="5" t="s">
        <v>44</v>
      </c>
      <c r="E20" s="13" t="s">
        <v>45</v>
      </c>
      <c r="F20" s="29">
        <v>8</v>
      </c>
      <c r="G20" s="29">
        <v>34</v>
      </c>
      <c r="H20" s="29">
        <v>6</v>
      </c>
      <c r="I20" s="29">
        <f t="shared" si="0"/>
        <v>48</v>
      </c>
      <c r="J20" s="33">
        <f t="shared" si="1"/>
        <v>19.2</v>
      </c>
    </row>
    <row r="21" ht="14.25" customHeight="1" spans="3:10">
      <c r="C21" s="25">
        <v>11</v>
      </c>
      <c r="D21" s="5" t="s">
        <v>46</v>
      </c>
      <c r="E21" s="13" t="s">
        <v>47</v>
      </c>
      <c r="F21" s="29">
        <v>8</v>
      </c>
      <c r="G21" s="29">
        <v>33</v>
      </c>
      <c r="H21" s="29">
        <v>5</v>
      </c>
      <c r="I21" s="29">
        <f t="shared" si="0"/>
        <v>46</v>
      </c>
      <c r="J21" s="33">
        <f t="shared" si="1"/>
        <v>18.4</v>
      </c>
    </row>
    <row r="22" ht="14.25" customHeight="1" spans="3:10">
      <c r="C22" s="25">
        <v>12</v>
      </c>
      <c r="D22" s="5" t="s">
        <v>48</v>
      </c>
      <c r="E22" s="13" t="s">
        <v>49</v>
      </c>
      <c r="F22" s="29">
        <v>8</v>
      </c>
      <c r="G22" s="29">
        <v>30</v>
      </c>
      <c r="H22" s="29">
        <v>4</v>
      </c>
      <c r="I22" s="29">
        <f t="shared" si="0"/>
        <v>42</v>
      </c>
      <c r="J22" s="33">
        <f t="shared" si="1"/>
        <v>16.8</v>
      </c>
    </row>
    <row r="23" ht="14.25" customHeight="1" spans="3:10">
      <c r="C23" s="25">
        <v>13</v>
      </c>
      <c r="D23" s="5" t="s">
        <v>50</v>
      </c>
      <c r="E23" s="13" t="s">
        <v>51</v>
      </c>
      <c r="F23" s="29">
        <v>8</v>
      </c>
      <c r="G23" s="29">
        <v>34</v>
      </c>
      <c r="H23" s="29">
        <v>6</v>
      </c>
      <c r="I23" s="29">
        <f t="shared" si="0"/>
        <v>48</v>
      </c>
      <c r="J23" s="33">
        <f t="shared" si="1"/>
        <v>19.2</v>
      </c>
    </row>
    <row r="24" ht="14.25" customHeight="1" spans="3:10">
      <c r="C24" s="25">
        <v>14</v>
      </c>
      <c r="D24" s="5" t="s">
        <v>52</v>
      </c>
      <c r="E24" s="13" t="s">
        <v>53</v>
      </c>
      <c r="F24" s="30">
        <v>8</v>
      </c>
      <c r="G24" s="30">
        <v>32</v>
      </c>
      <c r="H24" s="30">
        <v>6</v>
      </c>
      <c r="I24" s="29">
        <f t="shared" si="0"/>
        <v>46</v>
      </c>
      <c r="J24" s="33">
        <f t="shared" si="1"/>
        <v>18.4</v>
      </c>
    </row>
    <row r="25" ht="14.25" customHeight="1" spans="3:10">
      <c r="C25" s="25">
        <v>15</v>
      </c>
      <c r="D25" s="5" t="s">
        <v>54</v>
      </c>
      <c r="E25" s="13" t="s">
        <v>55</v>
      </c>
      <c r="F25" s="29">
        <v>8</v>
      </c>
      <c r="G25" s="29">
        <v>34</v>
      </c>
      <c r="H25" s="29">
        <v>6</v>
      </c>
      <c r="I25" s="29">
        <f t="shared" si="0"/>
        <v>48</v>
      </c>
      <c r="J25" s="33">
        <f t="shared" si="1"/>
        <v>19.2</v>
      </c>
    </row>
    <row r="26" ht="14.25" customHeight="1" spans="3:10">
      <c r="C26" s="25">
        <v>16</v>
      </c>
      <c r="D26" s="5" t="s">
        <v>56</v>
      </c>
      <c r="E26" s="13" t="s">
        <v>57</v>
      </c>
      <c r="F26" s="29">
        <v>8</v>
      </c>
      <c r="G26" s="29">
        <v>34</v>
      </c>
      <c r="H26" s="29">
        <v>4</v>
      </c>
      <c r="I26" s="29">
        <f t="shared" si="0"/>
        <v>46</v>
      </c>
      <c r="J26" s="33">
        <f t="shared" si="1"/>
        <v>18.4</v>
      </c>
    </row>
    <row r="27" ht="14.25" customHeight="1" spans="3:10">
      <c r="C27" s="25">
        <v>17</v>
      </c>
      <c r="D27" s="5" t="s">
        <v>58</v>
      </c>
      <c r="E27" s="13" t="s">
        <v>59</v>
      </c>
      <c r="F27" s="29">
        <v>8</v>
      </c>
      <c r="G27" s="29">
        <v>34</v>
      </c>
      <c r="H27" s="29">
        <v>6</v>
      </c>
      <c r="I27" s="29">
        <f t="shared" si="0"/>
        <v>48</v>
      </c>
      <c r="J27" s="33">
        <f t="shared" si="1"/>
        <v>19.2</v>
      </c>
    </row>
    <row r="28" ht="14.25" customHeight="1" spans="3:10">
      <c r="C28" s="25">
        <v>18</v>
      </c>
      <c r="D28" s="5" t="s">
        <v>60</v>
      </c>
      <c r="E28" s="13" t="s">
        <v>61</v>
      </c>
      <c r="F28" s="29">
        <v>8</v>
      </c>
      <c r="G28" s="29">
        <v>32</v>
      </c>
      <c r="H28" s="29">
        <v>6</v>
      </c>
      <c r="I28" s="29">
        <f t="shared" si="0"/>
        <v>46</v>
      </c>
      <c r="J28" s="33">
        <f t="shared" si="1"/>
        <v>18.4</v>
      </c>
    </row>
    <row r="29" ht="14.25" customHeight="1" spans="3:10">
      <c r="C29" s="25">
        <v>19</v>
      </c>
      <c r="D29" s="5" t="s">
        <v>62</v>
      </c>
      <c r="E29" s="13" t="s">
        <v>63</v>
      </c>
      <c r="F29" s="29">
        <v>8</v>
      </c>
      <c r="G29" s="29">
        <v>34</v>
      </c>
      <c r="H29" s="29">
        <v>6</v>
      </c>
      <c r="I29" s="29">
        <f t="shared" si="0"/>
        <v>48</v>
      </c>
      <c r="J29" s="33">
        <f t="shared" si="1"/>
        <v>19.2</v>
      </c>
    </row>
    <row r="30" ht="14.25" customHeight="1" spans="3:10">
      <c r="C30" s="25">
        <v>20</v>
      </c>
      <c r="D30" s="5" t="s">
        <v>64</v>
      </c>
      <c r="E30" s="13" t="s">
        <v>65</v>
      </c>
      <c r="F30" s="29">
        <v>8</v>
      </c>
      <c r="G30" s="29">
        <v>30</v>
      </c>
      <c r="H30" s="29">
        <v>6</v>
      </c>
      <c r="I30" s="29">
        <f t="shared" si="0"/>
        <v>44</v>
      </c>
      <c r="J30" s="33">
        <f t="shared" si="1"/>
        <v>17.6</v>
      </c>
    </row>
    <row r="31" spans="3:10">
      <c r="C31" s="25">
        <v>21</v>
      </c>
      <c r="D31" s="5" t="s">
        <v>66</v>
      </c>
      <c r="E31" s="13" t="s">
        <v>67</v>
      </c>
      <c r="F31" s="29">
        <v>8</v>
      </c>
      <c r="G31" s="29">
        <v>34</v>
      </c>
      <c r="H31" s="29">
        <v>6</v>
      </c>
      <c r="I31" s="29">
        <f t="shared" si="0"/>
        <v>48</v>
      </c>
      <c r="J31" s="33">
        <f t="shared" si="1"/>
        <v>19.2</v>
      </c>
    </row>
    <row r="32" ht="14.25" customHeight="1" spans="3:10">
      <c r="C32" s="25">
        <v>22</v>
      </c>
      <c r="D32" s="5" t="s">
        <v>68</v>
      </c>
      <c r="E32" s="13" t="s">
        <v>69</v>
      </c>
      <c r="F32" s="29">
        <v>8</v>
      </c>
      <c r="G32" s="29">
        <v>33</v>
      </c>
      <c r="H32" s="29">
        <v>5</v>
      </c>
      <c r="I32" s="29">
        <f t="shared" si="0"/>
        <v>46</v>
      </c>
      <c r="J32" s="33">
        <f t="shared" si="1"/>
        <v>18.4</v>
      </c>
    </row>
    <row r="33" ht="14.25" customHeight="1" spans="3:10">
      <c r="C33" s="25">
        <v>23</v>
      </c>
      <c r="D33" s="5" t="s">
        <v>70</v>
      </c>
      <c r="E33" s="13" t="s">
        <v>71</v>
      </c>
      <c r="F33" s="29">
        <v>4</v>
      </c>
      <c r="G33" s="29">
        <v>34</v>
      </c>
      <c r="H33" s="29">
        <v>4</v>
      </c>
      <c r="I33" s="29">
        <f t="shared" si="0"/>
        <v>42</v>
      </c>
      <c r="J33" s="33">
        <f t="shared" si="1"/>
        <v>16.8</v>
      </c>
    </row>
    <row r="34" ht="14.25" customHeight="1" spans="3:10">
      <c r="C34" s="25">
        <v>24</v>
      </c>
      <c r="D34" s="5" t="s">
        <v>72</v>
      </c>
      <c r="E34" s="13" t="s">
        <v>73</v>
      </c>
      <c r="F34" s="31">
        <v>8</v>
      </c>
      <c r="G34" s="31">
        <v>32</v>
      </c>
      <c r="H34" s="31">
        <v>4</v>
      </c>
      <c r="I34" s="29">
        <f t="shared" si="0"/>
        <v>44</v>
      </c>
      <c r="J34" s="33">
        <f t="shared" si="1"/>
        <v>17.6</v>
      </c>
    </row>
    <row r="35" ht="14.25" customHeight="1" spans="3:10">
      <c r="C35" s="25">
        <v>25</v>
      </c>
      <c r="D35" s="5" t="s">
        <v>74</v>
      </c>
      <c r="E35" s="13" t="s">
        <v>75</v>
      </c>
      <c r="F35" s="31">
        <v>8</v>
      </c>
      <c r="G35" s="31">
        <v>34</v>
      </c>
      <c r="H35" s="31">
        <v>6</v>
      </c>
      <c r="I35" s="29">
        <f t="shared" si="0"/>
        <v>48</v>
      </c>
      <c r="J35" s="33">
        <f t="shared" si="1"/>
        <v>19.2</v>
      </c>
    </row>
    <row r="36" ht="14.25" customHeight="1" spans="3:10">
      <c r="C36" s="25">
        <v>26</v>
      </c>
      <c r="D36" s="5" t="s">
        <v>76</v>
      </c>
      <c r="E36" s="13" t="s">
        <v>77</v>
      </c>
      <c r="F36" s="31">
        <v>8</v>
      </c>
      <c r="G36" s="31">
        <v>32</v>
      </c>
      <c r="H36" s="31">
        <v>6</v>
      </c>
      <c r="I36" s="29">
        <f t="shared" si="0"/>
        <v>46</v>
      </c>
      <c r="J36" s="33">
        <f t="shared" si="1"/>
        <v>18.4</v>
      </c>
    </row>
    <row r="37" ht="14.25" customHeight="1" spans="3:10">
      <c r="C37" s="25">
        <v>27</v>
      </c>
      <c r="D37" s="5" t="s">
        <v>78</v>
      </c>
      <c r="E37" s="13" t="s">
        <v>79</v>
      </c>
      <c r="F37" s="31">
        <v>8</v>
      </c>
      <c r="G37" s="31">
        <v>32</v>
      </c>
      <c r="H37" s="31">
        <v>4</v>
      </c>
      <c r="I37" s="29">
        <f t="shared" si="0"/>
        <v>44</v>
      </c>
      <c r="J37" s="33">
        <f t="shared" si="1"/>
        <v>17.6</v>
      </c>
    </row>
    <row r="38" ht="14.25" customHeight="1" spans="3:10">
      <c r="C38" s="25">
        <v>28</v>
      </c>
      <c r="D38" s="5" t="s">
        <v>80</v>
      </c>
      <c r="E38" s="13" t="s">
        <v>81</v>
      </c>
      <c r="F38" s="31">
        <v>8</v>
      </c>
      <c r="G38" s="31">
        <v>34</v>
      </c>
      <c r="H38" s="31">
        <v>6</v>
      </c>
      <c r="I38" s="29">
        <f t="shared" si="0"/>
        <v>48</v>
      </c>
      <c r="J38" s="33">
        <f t="shared" si="1"/>
        <v>19.2</v>
      </c>
    </row>
    <row r="39" ht="14.25" customHeight="1" spans="3:10">
      <c r="C39" s="25">
        <v>29</v>
      </c>
      <c r="D39" s="5" t="s">
        <v>82</v>
      </c>
      <c r="E39" s="13" t="s">
        <v>83</v>
      </c>
      <c r="F39" s="31">
        <v>8</v>
      </c>
      <c r="G39" s="31">
        <v>35</v>
      </c>
      <c r="H39" s="31">
        <v>7</v>
      </c>
      <c r="I39" s="29">
        <f t="shared" si="0"/>
        <v>50</v>
      </c>
      <c r="J39" s="33">
        <f t="shared" si="1"/>
        <v>20</v>
      </c>
    </row>
    <row r="40" ht="14.25" customHeight="1" spans="3:10">
      <c r="C40" s="25">
        <v>30</v>
      </c>
      <c r="D40" s="5" t="s">
        <v>84</v>
      </c>
      <c r="E40" s="13" t="s">
        <v>85</v>
      </c>
      <c r="F40" s="31">
        <v>8</v>
      </c>
      <c r="G40" s="31">
        <v>34</v>
      </c>
      <c r="H40" s="31">
        <v>6</v>
      </c>
      <c r="I40" s="29">
        <f t="shared" si="0"/>
        <v>48</v>
      </c>
      <c r="J40" s="33">
        <f t="shared" si="1"/>
        <v>19.2</v>
      </c>
    </row>
    <row r="41" ht="14.25" customHeight="1" spans="3:10">
      <c r="C41" s="25">
        <v>31</v>
      </c>
      <c r="D41" s="5" t="s">
        <v>86</v>
      </c>
      <c r="E41" s="13" t="s">
        <v>87</v>
      </c>
      <c r="F41" s="31">
        <v>8</v>
      </c>
      <c r="G41" s="31">
        <v>32</v>
      </c>
      <c r="H41" s="31">
        <v>4</v>
      </c>
      <c r="I41" s="29">
        <f t="shared" si="0"/>
        <v>44</v>
      </c>
      <c r="J41" s="33">
        <f t="shared" si="1"/>
        <v>17.6</v>
      </c>
    </row>
    <row r="42" ht="14.25" customHeight="1" spans="3:10">
      <c r="C42" s="25">
        <v>32</v>
      </c>
      <c r="D42" s="5" t="s">
        <v>88</v>
      </c>
      <c r="E42" s="13" t="s">
        <v>89</v>
      </c>
      <c r="F42" s="31">
        <v>8</v>
      </c>
      <c r="G42" s="31">
        <v>34</v>
      </c>
      <c r="H42" s="31">
        <v>6</v>
      </c>
      <c r="I42" s="29">
        <f t="shared" si="0"/>
        <v>48</v>
      </c>
      <c r="J42" s="33">
        <f t="shared" si="1"/>
        <v>19.2</v>
      </c>
    </row>
    <row r="43" ht="14.25" customHeight="1" spans="3:10">
      <c r="C43" s="25">
        <v>33</v>
      </c>
      <c r="D43" s="5" t="s">
        <v>90</v>
      </c>
      <c r="E43" s="13" t="s">
        <v>91</v>
      </c>
      <c r="F43" s="31">
        <v>4</v>
      </c>
      <c r="G43" s="31">
        <v>32</v>
      </c>
      <c r="H43" s="31">
        <v>6</v>
      </c>
      <c r="I43" s="29">
        <f t="shared" si="0"/>
        <v>42</v>
      </c>
      <c r="J43" s="33">
        <f t="shared" si="1"/>
        <v>16.8</v>
      </c>
    </row>
    <row r="44" ht="14.25" customHeight="1" spans="3:10">
      <c r="C44" s="25">
        <v>34</v>
      </c>
      <c r="D44" s="5" t="s">
        <v>92</v>
      </c>
      <c r="E44" s="13" t="s">
        <v>93</v>
      </c>
      <c r="F44" s="31">
        <v>8</v>
      </c>
      <c r="G44" s="31">
        <v>34</v>
      </c>
      <c r="H44" s="31">
        <v>6</v>
      </c>
      <c r="I44" s="29">
        <f t="shared" si="0"/>
        <v>48</v>
      </c>
      <c r="J44" s="33">
        <f t="shared" si="1"/>
        <v>19.2</v>
      </c>
    </row>
    <row r="45" ht="14.25" customHeight="1" spans="3:10">
      <c r="C45" s="25">
        <v>35</v>
      </c>
      <c r="D45" s="5" t="s">
        <v>94</v>
      </c>
      <c r="E45" s="13" t="s">
        <v>95</v>
      </c>
      <c r="F45" s="31">
        <v>8</v>
      </c>
      <c r="G45" s="31">
        <v>30</v>
      </c>
      <c r="H45" s="31">
        <v>6</v>
      </c>
      <c r="I45" s="29">
        <f t="shared" si="0"/>
        <v>44</v>
      </c>
      <c r="J45" s="33">
        <f t="shared" si="1"/>
        <v>17.6</v>
      </c>
    </row>
    <row r="46" ht="14.25" customHeight="1" spans="3:10">
      <c r="C46" s="25">
        <v>36</v>
      </c>
      <c r="D46" s="5" t="s">
        <v>96</v>
      </c>
      <c r="E46" s="13" t="s">
        <v>97</v>
      </c>
      <c r="F46" s="31">
        <v>8</v>
      </c>
      <c r="G46" s="31">
        <v>32</v>
      </c>
      <c r="H46" s="31">
        <v>6</v>
      </c>
      <c r="I46" s="29">
        <f t="shared" si="0"/>
        <v>46</v>
      </c>
      <c r="J46" s="33">
        <f t="shared" si="1"/>
        <v>18.4</v>
      </c>
    </row>
    <row r="47" ht="14.25" customHeight="1" spans="3:10">
      <c r="C47" s="25">
        <v>37</v>
      </c>
      <c r="D47" s="5" t="s">
        <v>98</v>
      </c>
      <c r="E47" s="13" t="s">
        <v>99</v>
      </c>
      <c r="F47" s="31">
        <v>4</v>
      </c>
      <c r="G47" s="31">
        <v>30</v>
      </c>
      <c r="H47" s="31">
        <v>4</v>
      </c>
      <c r="I47" s="29">
        <f t="shared" si="0"/>
        <v>38</v>
      </c>
      <c r="J47" s="33">
        <f t="shared" si="1"/>
        <v>15.2</v>
      </c>
    </row>
    <row r="48" ht="14.25" customHeight="1" spans="3:10">
      <c r="C48" s="25">
        <v>38</v>
      </c>
      <c r="D48" s="5" t="s">
        <v>100</v>
      </c>
      <c r="E48" s="13" t="s">
        <v>101</v>
      </c>
      <c r="F48" s="31">
        <v>8</v>
      </c>
      <c r="G48" s="31">
        <v>34</v>
      </c>
      <c r="H48" s="31">
        <v>6</v>
      </c>
      <c r="I48" s="29">
        <f t="shared" si="0"/>
        <v>48</v>
      </c>
      <c r="J48" s="33">
        <f t="shared" si="1"/>
        <v>19.2</v>
      </c>
    </row>
    <row r="49" ht="14.25" customHeight="1" spans="3:10">
      <c r="C49" s="25">
        <v>39</v>
      </c>
      <c r="D49" s="5" t="s">
        <v>102</v>
      </c>
      <c r="E49" s="13" t="s">
        <v>103</v>
      </c>
      <c r="F49" s="31">
        <v>8</v>
      </c>
      <c r="G49" s="31">
        <v>34</v>
      </c>
      <c r="H49" s="31">
        <v>6</v>
      </c>
      <c r="I49" s="29">
        <f t="shared" si="0"/>
        <v>48</v>
      </c>
      <c r="J49" s="33">
        <f t="shared" si="1"/>
        <v>19.2</v>
      </c>
    </row>
    <row r="50" ht="14.25" customHeight="1" spans="3:10">
      <c r="C50" s="25">
        <v>40</v>
      </c>
      <c r="D50" s="5" t="s">
        <v>104</v>
      </c>
      <c r="E50" s="13" t="s">
        <v>105</v>
      </c>
      <c r="F50" s="31">
        <v>8</v>
      </c>
      <c r="G50" s="31">
        <v>34</v>
      </c>
      <c r="H50" s="31">
        <v>6</v>
      </c>
      <c r="I50" s="29">
        <f t="shared" si="0"/>
        <v>48</v>
      </c>
      <c r="J50" s="33">
        <f t="shared" si="1"/>
        <v>19.2</v>
      </c>
    </row>
    <row r="51" ht="14.25" customHeight="1" spans="3:10">
      <c r="C51" s="25">
        <v>41</v>
      </c>
      <c r="D51" s="5" t="s">
        <v>106</v>
      </c>
      <c r="E51" s="13" t="s">
        <v>107</v>
      </c>
      <c r="F51" s="31">
        <v>4</v>
      </c>
      <c r="G51" s="31">
        <v>34</v>
      </c>
      <c r="H51" s="31">
        <v>4</v>
      </c>
      <c r="I51" s="29">
        <f t="shared" si="0"/>
        <v>42</v>
      </c>
      <c r="J51" s="33">
        <f t="shared" si="1"/>
        <v>16.8</v>
      </c>
    </row>
    <row r="52" ht="14.25" customHeight="1" spans="3:10">
      <c r="C52" s="25">
        <v>42</v>
      </c>
      <c r="D52" s="5" t="s">
        <v>108</v>
      </c>
      <c r="E52" s="13" t="s">
        <v>109</v>
      </c>
      <c r="F52" s="31">
        <v>8</v>
      </c>
      <c r="G52" s="31">
        <v>32</v>
      </c>
      <c r="H52" s="31">
        <v>4</v>
      </c>
      <c r="I52" s="29">
        <f t="shared" si="0"/>
        <v>44</v>
      </c>
      <c r="J52" s="33">
        <f t="shared" si="1"/>
        <v>17.6</v>
      </c>
    </row>
    <row r="53" ht="14.25" customHeight="1" spans="3:10">
      <c r="C53" s="25">
        <v>43</v>
      </c>
      <c r="D53" s="5" t="s">
        <v>110</v>
      </c>
      <c r="E53" s="13" t="s">
        <v>111</v>
      </c>
      <c r="F53" s="31">
        <v>8</v>
      </c>
      <c r="G53" s="31">
        <v>32</v>
      </c>
      <c r="H53" s="31">
        <v>4</v>
      </c>
      <c r="I53" s="29">
        <f t="shared" si="0"/>
        <v>44</v>
      </c>
      <c r="J53" s="33">
        <f t="shared" si="1"/>
        <v>17.6</v>
      </c>
    </row>
    <row r="54" ht="14.25" customHeight="1" spans="3:10">
      <c r="C54" s="25">
        <v>44</v>
      </c>
      <c r="D54" s="5" t="s">
        <v>112</v>
      </c>
      <c r="E54" s="13" t="s">
        <v>113</v>
      </c>
      <c r="F54" s="31">
        <v>5</v>
      </c>
      <c r="G54" s="31">
        <v>33</v>
      </c>
      <c r="H54" s="31">
        <v>5</v>
      </c>
      <c r="I54" s="29">
        <f t="shared" si="0"/>
        <v>43</v>
      </c>
      <c r="J54" s="33">
        <f t="shared" si="1"/>
        <v>17.2</v>
      </c>
    </row>
    <row r="55" ht="14.25" customHeight="1" spans="3:10">
      <c r="C55" s="25">
        <v>45</v>
      </c>
      <c r="D55" s="5" t="s">
        <v>114</v>
      </c>
      <c r="E55" s="13" t="s">
        <v>115</v>
      </c>
      <c r="F55" s="31">
        <v>6</v>
      </c>
      <c r="G55" s="31">
        <v>35</v>
      </c>
      <c r="H55" s="31">
        <v>6</v>
      </c>
      <c r="I55" s="29">
        <f t="shared" si="0"/>
        <v>47</v>
      </c>
      <c r="J55" s="33">
        <f t="shared" si="1"/>
        <v>18.8</v>
      </c>
    </row>
    <row r="56" ht="30" spans="3:10">
      <c r="C56" s="25">
        <v>46</v>
      </c>
      <c r="D56" s="5" t="s">
        <v>116</v>
      </c>
      <c r="E56" s="13" t="s">
        <v>117</v>
      </c>
      <c r="F56" s="31">
        <v>5</v>
      </c>
      <c r="G56" s="31">
        <v>30</v>
      </c>
      <c r="H56" s="31">
        <v>5</v>
      </c>
      <c r="I56" s="29">
        <f t="shared" si="0"/>
        <v>40</v>
      </c>
      <c r="J56" s="33">
        <f t="shared" si="1"/>
        <v>16</v>
      </c>
    </row>
    <row r="57" ht="14.25" customHeight="1" spans="3:10">
      <c r="C57" s="25">
        <v>47</v>
      </c>
      <c r="D57" s="5" t="s">
        <v>118</v>
      </c>
      <c r="E57" s="13" t="s">
        <v>119</v>
      </c>
      <c r="F57" s="31">
        <v>6</v>
      </c>
      <c r="G57" s="31">
        <v>33</v>
      </c>
      <c r="H57" s="31">
        <v>5</v>
      </c>
      <c r="I57" s="29">
        <f t="shared" si="0"/>
        <v>44</v>
      </c>
      <c r="J57" s="33">
        <f t="shared" si="1"/>
        <v>17.6</v>
      </c>
    </row>
    <row r="58" ht="14.25" customHeight="1" spans="3:10">
      <c r="C58" s="25">
        <v>48</v>
      </c>
      <c r="D58" s="5" t="s">
        <v>120</v>
      </c>
      <c r="E58" s="13" t="s">
        <v>121</v>
      </c>
      <c r="F58" s="31">
        <v>6</v>
      </c>
      <c r="G58" s="31">
        <v>34</v>
      </c>
      <c r="H58" s="31">
        <v>4</v>
      </c>
      <c r="I58" s="29">
        <f t="shared" si="0"/>
        <v>44</v>
      </c>
      <c r="J58" s="33">
        <f t="shared" si="1"/>
        <v>17.6</v>
      </c>
    </row>
    <row r="59" ht="14.25" customHeight="1" spans="3:10">
      <c r="C59" s="25">
        <v>49</v>
      </c>
      <c r="D59" s="5" t="s">
        <v>122</v>
      </c>
      <c r="E59" s="13" t="s">
        <v>123</v>
      </c>
      <c r="F59" s="31">
        <v>6</v>
      </c>
      <c r="G59" s="31">
        <v>34</v>
      </c>
      <c r="H59" s="31">
        <v>5</v>
      </c>
      <c r="I59" s="29">
        <f t="shared" si="0"/>
        <v>45</v>
      </c>
      <c r="J59" s="33">
        <f t="shared" si="1"/>
        <v>18</v>
      </c>
    </row>
    <row r="60" ht="14.25" customHeight="1" spans="3:10">
      <c r="C60" s="25">
        <v>50</v>
      </c>
      <c r="D60" s="5" t="s">
        <v>124</v>
      </c>
      <c r="E60" s="13" t="s">
        <v>125</v>
      </c>
      <c r="F60" s="31">
        <v>6</v>
      </c>
      <c r="G60" s="31">
        <v>34</v>
      </c>
      <c r="H60" s="31">
        <v>6</v>
      </c>
      <c r="I60" s="29">
        <f t="shared" si="0"/>
        <v>46</v>
      </c>
      <c r="J60" s="33">
        <f t="shared" si="1"/>
        <v>18.4</v>
      </c>
    </row>
    <row r="61" ht="14.25" customHeight="1" spans="3:10">
      <c r="C61" s="25">
        <v>51</v>
      </c>
      <c r="D61" s="5" t="s">
        <v>126</v>
      </c>
      <c r="E61" s="13" t="s">
        <v>127</v>
      </c>
      <c r="F61" s="31">
        <v>6</v>
      </c>
      <c r="G61" s="31">
        <v>32</v>
      </c>
      <c r="H61" s="31">
        <v>5</v>
      </c>
      <c r="I61" s="29">
        <f t="shared" si="0"/>
        <v>43</v>
      </c>
      <c r="J61" s="33">
        <f t="shared" si="1"/>
        <v>17.2</v>
      </c>
    </row>
    <row r="62" ht="14.25" customHeight="1" spans="3:10">
      <c r="C62" s="25">
        <v>52</v>
      </c>
      <c r="D62" s="5" t="s">
        <v>128</v>
      </c>
      <c r="E62" s="13" t="s">
        <v>129</v>
      </c>
      <c r="F62" s="31">
        <v>0</v>
      </c>
      <c r="G62" s="31">
        <v>0</v>
      </c>
      <c r="H62" s="31">
        <v>0</v>
      </c>
      <c r="I62" s="29">
        <f t="shared" si="0"/>
        <v>0</v>
      </c>
      <c r="J62" s="33">
        <f t="shared" si="1"/>
        <v>0</v>
      </c>
    </row>
    <row r="63" ht="14.25" customHeight="1" spans="3:10">
      <c r="C63" s="25">
        <v>53</v>
      </c>
      <c r="D63" s="5" t="s">
        <v>130</v>
      </c>
      <c r="E63" s="13" t="s">
        <v>131</v>
      </c>
      <c r="F63" s="31">
        <v>6</v>
      </c>
      <c r="G63" s="31">
        <v>34</v>
      </c>
      <c r="H63" s="31">
        <v>5</v>
      </c>
      <c r="I63" s="29">
        <f t="shared" si="0"/>
        <v>45</v>
      </c>
      <c r="J63" s="33">
        <f t="shared" si="1"/>
        <v>18</v>
      </c>
    </row>
    <row r="64" ht="14.25" customHeight="1" spans="3:10">
      <c r="C64" s="25">
        <v>54</v>
      </c>
      <c r="D64" s="5" t="s">
        <v>132</v>
      </c>
      <c r="E64" s="13" t="s">
        <v>133</v>
      </c>
      <c r="F64" s="31">
        <v>6</v>
      </c>
      <c r="G64" s="31">
        <v>33</v>
      </c>
      <c r="H64" s="31">
        <v>6</v>
      </c>
      <c r="I64" s="29">
        <f t="shared" si="0"/>
        <v>45</v>
      </c>
      <c r="J64" s="33">
        <f t="shared" si="1"/>
        <v>18</v>
      </c>
    </row>
    <row r="65" ht="14.25" customHeight="1" spans="3:10">
      <c r="C65" s="25">
        <v>55</v>
      </c>
      <c r="D65" s="5" t="s">
        <v>134</v>
      </c>
      <c r="E65" s="13" t="s">
        <v>135</v>
      </c>
      <c r="F65" s="31">
        <v>8</v>
      </c>
      <c r="G65" s="31">
        <v>34</v>
      </c>
      <c r="H65" s="31">
        <v>6</v>
      </c>
      <c r="I65" s="29">
        <f t="shared" si="0"/>
        <v>48</v>
      </c>
      <c r="J65" s="33">
        <f t="shared" si="1"/>
        <v>19.2</v>
      </c>
    </row>
    <row r="66" ht="14.25" customHeight="1" spans="3:10">
      <c r="C66" s="25">
        <v>56</v>
      </c>
      <c r="D66" s="5" t="s">
        <v>136</v>
      </c>
      <c r="E66" s="13" t="s">
        <v>137</v>
      </c>
      <c r="F66" s="31">
        <v>6</v>
      </c>
      <c r="G66" s="31">
        <v>34</v>
      </c>
      <c r="H66" s="31">
        <v>6</v>
      </c>
      <c r="I66" s="29">
        <f t="shared" si="0"/>
        <v>46</v>
      </c>
      <c r="J66" s="33">
        <f t="shared" si="1"/>
        <v>18.4</v>
      </c>
    </row>
    <row r="67" ht="14.25" customHeight="1" spans="3:10">
      <c r="C67" s="25">
        <v>57</v>
      </c>
      <c r="D67" s="5" t="s">
        <v>138</v>
      </c>
      <c r="E67" s="13" t="s">
        <v>139</v>
      </c>
      <c r="F67" s="31">
        <v>7</v>
      </c>
      <c r="G67" s="31">
        <v>35</v>
      </c>
      <c r="H67" s="31">
        <v>6</v>
      </c>
      <c r="I67" s="29">
        <f t="shared" si="0"/>
        <v>48</v>
      </c>
      <c r="J67" s="33">
        <f t="shared" si="1"/>
        <v>19.2</v>
      </c>
    </row>
    <row r="68" ht="14.25" customHeight="1" spans="3:10">
      <c r="C68" s="25">
        <v>58</v>
      </c>
      <c r="D68" s="5" t="s">
        <v>140</v>
      </c>
      <c r="E68" s="13" t="s">
        <v>141</v>
      </c>
      <c r="F68" s="31">
        <v>6</v>
      </c>
      <c r="G68" s="31">
        <v>32</v>
      </c>
      <c r="H68" s="31">
        <v>4</v>
      </c>
      <c r="I68" s="29">
        <f t="shared" si="0"/>
        <v>42</v>
      </c>
      <c r="J68" s="33">
        <f t="shared" si="1"/>
        <v>16.8</v>
      </c>
    </row>
    <row r="69" ht="14.25" customHeight="1" spans="3:10">
      <c r="C69" s="25">
        <v>59</v>
      </c>
      <c r="D69" s="5" t="s">
        <v>142</v>
      </c>
      <c r="E69" s="13" t="s">
        <v>143</v>
      </c>
      <c r="F69" s="31">
        <v>6</v>
      </c>
      <c r="G69" s="31">
        <v>33</v>
      </c>
      <c r="H69" s="31">
        <v>6</v>
      </c>
      <c r="I69" s="29">
        <f t="shared" si="0"/>
        <v>45</v>
      </c>
      <c r="J69" s="33">
        <f t="shared" si="1"/>
        <v>18</v>
      </c>
    </row>
    <row r="70" ht="14.25" customHeight="1" spans="3:10">
      <c r="C70" s="25">
        <v>60</v>
      </c>
      <c r="D70" s="5" t="s">
        <v>144</v>
      </c>
      <c r="E70" s="13" t="s">
        <v>145</v>
      </c>
      <c r="F70" s="31">
        <v>6</v>
      </c>
      <c r="G70" s="31">
        <v>35</v>
      </c>
      <c r="H70" s="31">
        <v>6</v>
      </c>
      <c r="I70" s="29">
        <f t="shared" si="0"/>
        <v>47</v>
      </c>
      <c r="J70" s="33">
        <f t="shared" si="1"/>
        <v>18.8</v>
      </c>
    </row>
    <row r="71" ht="14.25" customHeight="1" spans="3:10">
      <c r="C71" s="25">
        <v>61</v>
      </c>
      <c r="D71" s="5" t="s">
        <v>146</v>
      </c>
      <c r="E71" s="13" t="s">
        <v>147</v>
      </c>
      <c r="F71" s="31">
        <v>7</v>
      </c>
      <c r="G71" s="31">
        <v>34</v>
      </c>
      <c r="H71" s="31">
        <v>7</v>
      </c>
      <c r="I71" s="29">
        <f t="shared" si="0"/>
        <v>48</v>
      </c>
      <c r="J71" s="33">
        <f t="shared" si="1"/>
        <v>19.2</v>
      </c>
    </row>
    <row r="72" ht="14.25" customHeight="1" spans="3:10">
      <c r="C72" s="25">
        <v>62</v>
      </c>
      <c r="D72" s="5" t="s">
        <v>148</v>
      </c>
      <c r="E72" s="13" t="s">
        <v>149</v>
      </c>
      <c r="F72" s="31">
        <v>8</v>
      </c>
      <c r="G72" s="31">
        <v>35</v>
      </c>
      <c r="H72" s="31">
        <v>6</v>
      </c>
      <c r="I72" s="29">
        <f t="shared" si="0"/>
        <v>49</v>
      </c>
      <c r="J72" s="33">
        <f t="shared" si="1"/>
        <v>19.6</v>
      </c>
    </row>
    <row r="73" ht="14.25" customHeight="1" spans="3:10">
      <c r="C73" s="25">
        <v>63</v>
      </c>
      <c r="D73" s="5" t="s">
        <v>150</v>
      </c>
      <c r="E73" s="13" t="s">
        <v>151</v>
      </c>
      <c r="F73" s="31">
        <v>7</v>
      </c>
      <c r="G73" s="31">
        <v>35</v>
      </c>
      <c r="H73" s="31">
        <v>6</v>
      </c>
      <c r="I73" s="29">
        <f t="shared" si="0"/>
        <v>48</v>
      </c>
      <c r="J73" s="33">
        <f t="shared" si="1"/>
        <v>19.2</v>
      </c>
    </row>
    <row r="74" ht="14.25" customHeight="1" spans="3:10">
      <c r="C74" s="25">
        <v>64</v>
      </c>
      <c r="D74" s="5" t="s">
        <v>152</v>
      </c>
      <c r="E74" s="13" t="s">
        <v>153</v>
      </c>
      <c r="F74" s="31">
        <v>7</v>
      </c>
      <c r="G74" s="31">
        <v>33</v>
      </c>
      <c r="H74" s="31">
        <v>7</v>
      </c>
      <c r="I74" s="29">
        <f t="shared" si="0"/>
        <v>47</v>
      </c>
      <c r="J74" s="33">
        <f t="shared" si="1"/>
        <v>18.8</v>
      </c>
    </row>
    <row r="75" ht="14.25" customHeight="1" spans="3:10">
      <c r="C75" s="25">
        <v>65</v>
      </c>
      <c r="D75" s="5" t="s">
        <v>154</v>
      </c>
      <c r="E75" s="13" t="s">
        <v>155</v>
      </c>
      <c r="F75" s="31">
        <v>6</v>
      </c>
      <c r="G75" s="31">
        <v>34</v>
      </c>
      <c r="H75" s="31">
        <v>6</v>
      </c>
      <c r="I75" s="29">
        <f t="shared" ref="I75:I76" si="2">SUM(F75:H75)</f>
        <v>46</v>
      </c>
      <c r="J75" s="33">
        <f t="shared" si="1"/>
        <v>18.4</v>
      </c>
    </row>
    <row r="76" ht="14.25" customHeight="1" spans="3:10">
      <c r="C76" s="25">
        <v>66</v>
      </c>
      <c r="D76" s="5" t="s">
        <v>156</v>
      </c>
      <c r="E76" s="13" t="s">
        <v>157</v>
      </c>
      <c r="F76" s="34">
        <v>5</v>
      </c>
      <c r="G76" s="34">
        <v>34</v>
      </c>
      <c r="H76" s="34">
        <v>6</v>
      </c>
      <c r="I76" s="29">
        <f t="shared" si="2"/>
        <v>45</v>
      </c>
      <c r="J76" s="33">
        <f t="shared" ref="J76:J139" si="3">I76*0.4</f>
        <v>18</v>
      </c>
    </row>
    <row r="77" ht="14.25" customHeight="1" spans="3:10">
      <c r="C77" s="25">
        <v>67</v>
      </c>
      <c r="D77" s="5" t="s">
        <v>158</v>
      </c>
      <c r="E77" s="13" t="s">
        <v>159</v>
      </c>
      <c r="F77" s="34">
        <v>6</v>
      </c>
      <c r="G77" s="34">
        <v>34</v>
      </c>
      <c r="H77" s="34">
        <v>6</v>
      </c>
      <c r="I77" s="29">
        <f t="shared" ref="I77:I137" si="4">SUM(F77:H77)</f>
        <v>46</v>
      </c>
      <c r="J77" s="33">
        <f t="shared" si="3"/>
        <v>18.4</v>
      </c>
    </row>
    <row r="78" ht="14.25" customHeight="1" spans="3:10">
      <c r="C78" s="25">
        <v>68</v>
      </c>
      <c r="D78" s="5" t="s">
        <v>160</v>
      </c>
      <c r="E78" s="13" t="s">
        <v>161</v>
      </c>
      <c r="F78" s="34">
        <v>6</v>
      </c>
      <c r="G78" s="34">
        <v>35</v>
      </c>
      <c r="H78" s="34">
        <v>5</v>
      </c>
      <c r="I78" s="29">
        <f t="shared" si="4"/>
        <v>46</v>
      </c>
      <c r="J78" s="33">
        <f t="shared" si="3"/>
        <v>18.4</v>
      </c>
    </row>
    <row r="79" ht="14.25" customHeight="1" spans="3:10">
      <c r="C79" s="25">
        <v>69</v>
      </c>
      <c r="D79" s="5" t="s">
        <v>162</v>
      </c>
      <c r="E79" s="13" t="s">
        <v>163</v>
      </c>
      <c r="F79" s="34">
        <v>5</v>
      </c>
      <c r="G79" s="34">
        <v>32</v>
      </c>
      <c r="H79" s="34">
        <v>5</v>
      </c>
      <c r="I79" s="29">
        <f t="shared" si="4"/>
        <v>42</v>
      </c>
      <c r="J79" s="33">
        <f t="shared" si="3"/>
        <v>16.8</v>
      </c>
    </row>
    <row r="80" ht="14.25" customHeight="1" spans="3:10">
      <c r="C80" s="25">
        <v>70</v>
      </c>
      <c r="D80" s="5" t="s">
        <v>164</v>
      </c>
      <c r="E80" s="13" t="s">
        <v>165</v>
      </c>
      <c r="F80" s="34"/>
      <c r="G80" s="34"/>
      <c r="H80" s="34"/>
      <c r="I80" s="29">
        <f t="shared" si="4"/>
        <v>0</v>
      </c>
      <c r="J80" s="33">
        <f t="shared" si="3"/>
        <v>0</v>
      </c>
    </row>
    <row r="81" ht="14.25" customHeight="1" spans="3:10">
      <c r="C81" s="25">
        <v>71</v>
      </c>
      <c r="D81" s="5" t="s">
        <v>166</v>
      </c>
      <c r="E81" s="13" t="s">
        <v>167</v>
      </c>
      <c r="F81" s="34">
        <v>6</v>
      </c>
      <c r="G81" s="34">
        <v>33</v>
      </c>
      <c r="H81" s="34">
        <v>6</v>
      </c>
      <c r="I81" s="29">
        <f t="shared" si="4"/>
        <v>45</v>
      </c>
      <c r="J81" s="33">
        <f t="shared" si="3"/>
        <v>18</v>
      </c>
    </row>
    <row r="82" ht="14.25" customHeight="1" spans="3:10">
      <c r="C82" s="25">
        <v>72</v>
      </c>
      <c r="D82" s="5" t="s">
        <v>168</v>
      </c>
      <c r="E82" s="13" t="s">
        <v>169</v>
      </c>
      <c r="F82" s="34">
        <v>5</v>
      </c>
      <c r="G82" s="34">
        <v>30</v>
      </c>
      <c r="H82" s="34">
        <v>3</v>
      </c>
      <c r="I82" s="29">
        <f t="shared" si="4"/>
        <v>38</v>
      </c>
      <c r="J82" s="33">
        <f t="shared" si="3"/>
        <v>15.2</v>
      </c>
    </row>
    <row r="83" ht="14.25" customHeight="1" spans="3:10">
      <c r="C83" s="25">
        <v>73</v>
      </c>
      <c r="D83" s="5" t="s">
        <v>170</v>
      </c>
      <c r="E83" s="13" t="s">
        <v>171</v>
      </c>
      <c r="F83" s="34"/>
      <c r="G83" s="34"/>
      <c r="H83" s="34"/>
      <c r="I83" s="29">
        <f t="shared" si="4"/>
        <v>0</v>
      </c>
      <c r="J83" s="33">
        <f t="shared" si="3"/>
        <v>0</v>
      </c>
    </row>
    <row r="84" ht="14.25" customHeight="1" spans="3:10">
      <c r="C84" s="25">
        <v>74</v>
      </c>
      <c r="D84" s="5" t="s">
        <v>172</v>
      </c>
      <c r="E84" s="13" t="s">
        <v>173</v>
      </c>
      <c r="F84" s="34">
        <v>7</v>
      </c>
      <c r="G84" s="34">
        <v>33</v>
      </c>
      <c r="H84" s="34">
        <v>5</v>
      </c>
      <c r="I84" s="29">
        <f t="shared" si="4"/>
        <v>45</v>
      </c>
      <c r="J84" s="33">
        <f t="shared" si="3"/>
        <v>18</v>
      </c>
    </row>
    <row r="85" ht="14.25" customHeight="1" spans="3:10">
      <c r="C85" s="25">
        <v>75</v>
      </c>
      <c r="D85" s="5" t="s">
        <v>174</v>
      </c>
      <c r="E85" s="13" t="s">
        <v>175</v>
      </c>
      <c r="F85" s="34">
        <v>6</v>
      </c>
      <c r="G85" s="34">
        <v>34</v>
      </c>
      <c r="H85" s="34">
        <v>5</v>
      </c>
      <c r="I85" s="29">
        <f t="shared" si="4"/>
        <v>45</v>
      </c>
      <c r="J85" s="33">
        <f t="shared" si="3"/>
        <v>18</v>
      </c>
    </row>
    <row r="86" ht="14.25" customHeight="1" spans="3:10">
      <c r="C86" s="25">
        <v>76</v>
      </c>
      <c r="D86" s="5" t="s">
        <v>176</v>
      </c>
      <c r="E86" s="13" t="s">
        <v>177</v>
      </c>
      <c r="F86" s="34"/>
      <c r="G86" s="34"/>
      <c r="H86" s="34"/>
      <c r="I86" s="29">
        <f t="shared" si="4"/>
        <v>0</v>
      </c>
      <c r="J86" s="33">
        <f t="shared" si="3"/>
        <v>0</v>
      </c>
    </row>
    <row r="87" ht="14.25" customHeight="1" spans="3:10">
      <c r="C87" s="25">
        <v>77</v>
      </c>
      <c r="D87" s="5" t="s">
        <v>178</v>
      </c>
      <c r="E87" s="13" t="s">
        <v>179</v>
      </c>
      <c r="F87" s="34"/>
      <c r="G87" s="34"/>
      <c r="H87" s="34"/>
      <c r="I87" s="29">
        <f t="shared" si="4"/>
        <v>0</v>
      </c>
      <c r="J87" s="33">
        <f t="shared" si="3"/>
        <v>0</v>
      </c>
    </row>
    <row r="88" ht="14.25" customHeight="1" spans="3:10">
      <c r="C88" s="25">
        <v>78</v>
      </c>
      <c r="D88" s="5" t="s">
        <v>180</v>
      </c>
      <c r="E88" s="13" t="s">
        <v>181</v>
      </c>
      <c r="F88" s="34">
        <v>7</v>
      </c>
      <c r="G88" s="34">
        <v>33</v>
      </c>
      <c r="H88" s="34">
        <v>6</v>
      </c>
      <c r="I88" s="29">
        <f t="shared" si="4"/>
        <v>46</v>
      </c>
      <c r="J88" s="33">
        <f t="shared" si="3"/>
        <v>18.4</v>
      </c>
    </row>
    <row r="89" ht="14.25" customHeight="1" spans="3:10">
      <c r="C89" s="25">
        <v>79</v>
      </c>
      <c r="D89" s="5" t="s">
        <v>182</v>
      </c>
      <c r="E89" s="13" t="s">
        <v>183</v>
      </c>
      <c r="F89" s="34">
        <v>6</v>
      </c>
      <c r="G89" s="35">
        <v>32</v>
      </c>
      <c r="H89" s="34">
        <v>6</v>
      </c>
      <c r="I89" s="29">
        <f t="shared" si="4"/>
        <v>44</v>
      </c>
      <c r="J89" s="33">
        <f t="shared" si="3"/>
        <v>17.6</v>
      </c>
    </row>
    <row r="90" ht="14.25" customHeight="1" spans="3:10">
      <c r="C90" s="25">
        <v>80</v>
      </c>
      <c r="D90" s="5" t="s">
        <v>184</v>
      </c>
      <c r="E90" s="13" t="s">
        <v>185</v>
      </c>
      <c r="F90" s="34">
        <v>7</v>
      </c>
      <c r="G90" s="34">
        <v>33</v>
      </c>
      <c r="H90" s="34">
        <v>7</v>
      </c>
      <c r="I90" s="29">
        <f t="shared" si="4"/>
        <v>47</v>
      </c>
      <c r="J90" s="33">
        <f t="shared" si="3"/>
        <v>18.8</v>
      </c>
    </row>
    <row r="91" ht="14.25" customHeight="1" spans="3:10">
      <c r="C91" s="25">
        <v>81</v>
      </c>
      <c r="D91" s="5" t="s">
        <v>186</v>
      </c>
      <c r="E91" s="13" t="s">
        <v>187</v>
      </c>
      <c r="F91" s="34"/>
      <c r="G91" s="34"/>
      <c r="H91" s="34"/>
      <c r="I91" s="29">
        <f t="shared" si="4"/>
        <v>0</v>
      </c>
      <c r="J91" s="33">
        <f t="shared" si="3"/>
        <v>0</v>
      </c>
    </row>
    <row r="92" ht="14.25" customHeight="1" spans="3:10">
      <c r="C92" s="25">
        <v>82</v>
      </c>
      <c r="D92" s="5" t="s">
        <v>188</v>
      </c>
      <c r="E92" s="13" t="s">
        <v>189</v>
      </c>
      <c r="F92" s="34">
        <v>7</v>
      </c>
      <c r="G92" s="34">
        <v>33</v>
      </c>
      <c r="H92" s="34">
        <v>5</v>
      </c>
      <c r="I92" s="29">
        <f t="shared" si="4"/>
        <v>45</v>
      </c>
      <c r="J92" s="33">
        <f t="shared" si="3"/>
        <v>18</v>
      </c>
    </row>
    <row r="93" ht="14.25" customHeight="1" spans="3:10">
      <c r="C93" s="25">
        <v>83</v>
      </c>
      <c r="D93" s="5" t="s">
        <v>190</v>
      </c>
      <c r="E93" s="13" t="s">
        <v>191</v>
      </c>
      <c r="F93" s="34">
        <v>8</v>
      </c>
      <c r="G93" s="34">
        <v>35</v>
      </c>
      <c r="H93" s="34">
        <v>6</v>
      </c>
      <c r="I93" s="29">
        <f t="shared" si="4"/>
        <v>49</v>
      </c>
      <c r="J93" s="33">
        <f t="shared" si="3"/>
        <v>19.6</v>
      </c>
    </row>
    <row r="94" ht="14.25" customHeight="1" spans="3:10">
      <c r="C94" s="25">
        <v>84</v>
      </c>
      <c r="D94" s="5" t="s">
        <v>192</v>
      </c>
      <c r="E94" s="13" t="s">
        <v>193</v>
      </c>
      <c r="F94" s="34">
        <v>5</v>
      </c>
      <c r="G94" s="34">
        <v>30</v>
      </c>
      <c r="H94" s="34">
        <v>5</v>
      </c>
      <c r="I94" s="29">
        <f t="shared" si="4"/>
        <v>40</v>
      </c>
      <c r="J94" s="33">
        <f t="shared" si="3"/>
        <v>16</v>
      </c>
    </row>
    <row r="95" ht="14.25" customHeight="1" spans="3:10">
      <c r="C95" s="25">
        <v>85</v>
      </c>
      <c r="D95" s="5" t="s">
        <v>194</v>
      </c>
      <c r="E95" s="13" t="s">
        <v>195</v>
      </c>
      <c r="F95" s="34">
        <v>6</v>
      </c>
      <c r="G95" s="34">
        <v>34</v>
      </c>
      <c r="H95" s="34">
        <v>6</v>
      </c>
      <c r="I95" s="29">
        <f t="shared" si="4"/>
        <v>46</v>
      </c>
      <c r="J95" s="33">
        <f t="shared" si="3"/>
        <v>18.4</v>
      </c>
    </row>
    <row r="96" ht="14.25" customHeight="1" spans="3:10">
      <c r="C96" s="25">
        <v>86</v>
      </c>
      <c r="D96" s="5" t="s">
        <v>196</v>
      </c>
      <c r="E96" s="13" t="s">
        <v>197</v>
      </c>
      <c r="F96" s="34">
        <v>6</v>
      </c>
      <c r="G96" s="34">
        <v>32</v>
      </c>
      <c r="H96" s="34">
        <v>6</v>
      </c>
      <c r="I96" s="29">
        <f t="shared" si="4"/>
        <v>44</v>
      </c>
      <c r="J96" s="33">
        <f t="shared" si="3"/>
        <v>17.6</v>
      </c>
    </row>
    <row r="97" ht="14.25" customHeight="1" spans="3:10">
      <c r="C97" s="25">
        <v>87</v>
      </c>
      <c r="D97" s="5" t="s">
        <v>198</v>
      </c>
      <c r="E97" s="13" t="s">
        <v>199</v>
      </c>
      <c r="F97" s="34">
        <v>8</v>
      </c>
      <c r="G97" s="34">
        <v>35</v>
      </c>
      <c r="H97" s="34">
        <v>7</v>
      </c>
      <c r="I97" s="29">
        <f t="shared" si="4"/>
        <v>50</v>
      </c>
      <c r="J97" s="33">
        <f t="shared" si="3"/>
        <v>20</v>
      </c>
    </row>
    <row r="98" ht="14.25" customHeight="1" spans="3:10">
      <c r="C98" s="25">
        <v>88</v>
      </c>
      <c r="D98" s="5" t="s">
        <v>200</v>
      </c>
      <c r="E98" s="13" t="s">
        <v>201</v>
      </c>
      <c r="F98" s="34">
        <v>6</v>
      </c>
      <c r="G98" s="34">
        <v>34</v>
      </c>
      <c r="H98" s="34">
        <v>4</v>
      </c>
      <c r="I98" s="29">
        <f t="shared" si="4"/>
        <v>44</v>
      </c>
      <c r="J98" s="33">
        <f t="shared" si="3"/>
        <v>17.6</v>
      </c>
    </row>
    <row r="99" ht="14.25" customHeight="1" spans="3:10">
      <c r="C99" s="25">
        <v>89</v>
      </c>
      <c r="D99" s="5" t="s">
        <v>202</v>
      </c>
      <c r="E99" s="13" t="s">
        <v>203</v>
      </c>
      <c r="F99" s="34">
        <v>4</v>
      </c>
      <c r="G99" s="34">
        <v>32</v>
      </c>
      <c r="H99" s="34">
        <v>4</v>
      </c>
      <c r="I99" s="29">
        <f t="shared" si="4"/>
        <v>40</v>
      </c>
      <c r="J99" s="33">
        <f t="shared" si="3"/>
        <v>16</v>
      </c>
    </row>
    <row r="100" ht="14.25" customHeight="1" spans="3:10">
      <c r="C100" s="25">
        <v>90</v>
      </c>
      <c r="D100" s="5" t="s">
        <v>204</v>
      </c>
      <c r="E100" s="13" t="s">
        <v>205</v>
      </c>
      <c r="F100" s="34">
        <v>6</v>
      </c>
      <c r="G100" s="34">
        <v>32</v>
      </c>
      <c r="H100" s="34">
        <v>5</v>
      </c>
      <c r="I100" s="29">
        <f t="shared" si="4"/>
        <v>43</v>
      </c>
      <c r="J100" s="33">
        <f t="shared" si="3"/>
        <v>17.2</v>
      </c>
    </row>
    <row r="101" ht="14.25" customHeight="1" spans="3:10">
      <c r="C101" s="25">
        <v>91</v>
      </c>
      <c r="D101" s="5" t="s">
        <v>206</v>
      </c>
      <c r="E101" s="13" t="s">
        <v>207</v>
      </c>
      <c r="F101" s="34">
        <v>8</v>
      </c>
      <c r="G101" s="34">
        <v>35</v>
      </c>
      <c r="H101" s="34">
        <v>6</v>
      </c>
      <c r="I101" s="29">
        <f t="shared" si="4"/>
        <v>49</v>
      </c>
      <c r="J101" s="33">
        <f t="shared" si="3"/>
        <v>19.6</v>
      </c>
    </row>
    <row r="102" ht="14.25" customHeight="1" spans="3:10">
      <c r="C102" s="25">
        <v>92</v>
      </c>
      <c r="D102" s="5" t="s">
        <v>208</v>
      </c>
      <c r="E102" s="13" t="s">
        <v>209</v>
      </c>
      <c r="F102" s="34">
        <v>5</v>
      </c>
      <c r="G102" s="34">
        <v>32</v>
      </c>
      <c r="H102" s="34">
        <v>4</v>
      </c>
      <c r="I102" s="29">
        <f t="shared" si="4"/>
        <v>41</v>
      </c>
      <c r="J102" s="33">
        <f t="shared" si="3"/>
        <v>16.4</v>
      </c>
    </row>
    <row r="103" ht="14.25" customHeight="1" spans="3:10">
      <c r="C103" s="25">
        <v>93</v>
      </c>
      <c r="D103" s="5" t="s">
        <v>210</v>
      </c>
      <c r="E103" s="13" t="s">
        <v>211</v>
      </c>
      <c r="F103" s="34"/>
      <c r="G103" s="34"/>
      <c r="H103" s="34"/>
      <c r="I103" s="29">
        <f t="shared" si="4"/>
        <v>0</v>
      </c>
      <c r="J103" s="33">
        <f t="shared" si="3"/>
        <v>0</v>
      </c>
    </row>
    <row r="104" ht="14.25" customHeight="1" spans="3:10">
      <c r="C104" s="25">
        <v>94</v>
      </c>
      <c r="D104" s="5" t="s">
        <v>212</v>
      </c>
      <c r="E104" s="13" t="s">
        <v>213</v>
      </c>
      <c r="F104" s="34">
        <v>6</v>
      </c>
      <c r="G104" s="34">
        <v>33</v>
      </c>
      <c r="H104" s="34">
        <v>5</v>
      </c>
      <c r="I104" s="29">
        <f t="shared" si="4"/>
        <v>44</v>
      </c>
      <c r="J104" s="33">
        <f t="shared" si="3"/>
        <v>17.6</v>
      </c>
    </row>
    <row r="105" ht="14.25" customHeight="1" spans="3:10">
      <c r="C105" s="25">
        <v>95</v>
      </c>
      <c r="D105" s="5" t="s">
        <v>214</v>
      </c>
      <c r="E105" s="13" t="s">
        <v>215</v>
      </c>
      <c r="F105" s="34">
        <v>3</v>
      </c>
      <c r="G105" s="34">
        <v>30</v>
      </c>
      <c r="H105" s="34">
        <v>5</v>
      </c>
      <c r="I105" s="29">
        <f t="shared" si="4"/>
        <v>38</v>
      </c>
      <c r="J105" s="33">
        <f t="shared" si="3"/>
        <v>15.2</v>
      </c>
    </row>
    <row r="106" ht="14.25" customHeight="1" spans="3:10">
      <c r="C106" s="25">
        <v>96</v>
      </c>
      <c r="D106" s="5" t="s">
        <v>216</v>
      </c>
      <c r="E106" s="13" t="s">
        <v>217</v>
      </c>
      <c r="F106" s="34">
        <v>5</v>
      </c>
      <c r="G106" s="34">
        <v>32</v>
      </c>
      <c r="H106" s="34">
        <v>3</v>
      </c>
      <c r="I106" s="29">
        <f t="shared" si="4"/>
        <v>40</v>
      </c>
      <c r="J106" s="33">
        <f t="shared" si="3"/>
        <v>16</v>
      </c>
    </row>
    <row r="107" ht="14.25" customHeight="1" spans="3:10">
      <c r="C107" s="25">
        <v>97</v>
      </c>
      <c r="D107" s="5" t="s">
        <v>218</v>
      </c>
      <c r="E107" s="13" t="s">
        <v>219</v>
      </c>
      <c r="F107" s="34">
        <v>6</v>
      </c>
      <c r="G107" s="34">
        <v>32</v>
      </c>
      <c r="H107" s="34">
        <v>4</v>
      </c>
      <c r="I107" s="29">
        <f t="shared" si="4"/>
        <v>42</v>
      </c>
      <c r="J107" s="33">
        <f t="shared" si="3"/>
        <v>16.8</v>
      </c>
    </row>
    <row r="108" ht="14.25" customHeight="1" spans="3:10">
      <c r="C108" s="25">
        <v>98</v>
      </c>
      <c r="D108" s="5" t="s">
        <v>220</v>
      </c>
      <c r="E108" s="13" t="s">
        <v>221</v>
      </c>
      <c r="F108" s="34">
        <v>6</v>
      </c>
      <c r="G108" s="34">
        <v>33</v>
      </c>
      <c r="H108" s="34">
        <v>5</v>
      </c>
      <c r="I108" s="29">
        <f t="shared" si="4"/>
        <v>44</v>
      </c>
      <c r="J108" s="33">
        <f t="shared" si="3"/>
        <v>17.6</v>
      </c>
    </row>
    <row r="109" ht="14.25" customHeight="1" spans="3:10">
      <c r="C109" s="25">
        <v>99</v>
      </c>
      <c r="D109" s="5" t="s">
        <v>222</v>
      </c>
      <c r="E109" s="13" t="s">
        <v>223</v>
      </c>
      <c r="F109" s="34">
        <v>6</v>
      </c>
      <c r="G109" s="34">
        <v>34</v>
      </c>
      <c r="H109" s="34">
        <v>7</v>
      </c>
      <c r="I109" s="29">
        <f t="shared" si="4"/>
        <v>47</v>
      </c>
      <c r="J109" s="33">
        <f t="shared" si="3"/>
        <v>18.8</v>
      </c>
    </row>
    <row r="110" ht="14.25" customHeight="1" spans="3:10">
      <c r="C110" s="25">
        <v>100</v>
      </c>
      <c r="D110" s="5" t="s">
        <v>224</v>
      </c>
      <c r="E110" s="13" t="s">
        <v>225</v>
      </c>
      <c r="F110" s="34">
        <v>8</v>
      </c>
      <c r="G110" s="34">
        <v>35</v>
      </c>
      <c r="H110" s="34">
        <v>6</v>
      </c>
      <c r="I110" s="29">
        <f t="shared" si="4"/>
        <v>49</v>
      </c>
      <c r="J110" s="33">
        <f t="shared" si="3"/>
        <v>19.6</v>
      </c>
    </row>
    <row r="111" ht="14.25" customHeight="1" spans="3:10">
      <c r="C111" s="25">
        <v>101</v>
      </c>
      <c r="D111" s="5" t="s">
        <v>226</v>
      </c>
      <c r="E111" s="13" t="s">
        <v>227</v>
      </c>
      <c r="F111" s="34">
        <v>6</v>
      </c>
      <c r="G111" s="34">
        <v>30</v>
      </c>
      <c r="H111" s="34">
        <v>5</v>
      </c>
      <c r="I111" s="29">
        <f t="shared" si="4"/>
        <v>41</v>
      </c>
      <c r="J111" s="33">
        <f t="shared" si="3"/>
        <v>16.4</v>
      </c>
    </row>
    <row r="112" ht="14.25" customHeight="1" spans="3:10">
      <c r="C112" s="25">
        <v>102</v>
      </c>
      <c r="D112" s="5" t="s">
        <v>228</v>
      </c>
      <c r="E112" s="13" t="s">
        <v>229</v>
      </c>
      <c r="F112" s="34">
        <v>6</v>
      </c>
      <c r="G112" s="34">
        <v>34</v>
      </c>
      <c r="H112" s="34">
        <v>5</v>
      </c>
      <c r="I112" s="29">
        <f t="shared" si="4"/>
        <v>45</v>
      </c>
      <c r="J112" s="33">
        <f t="shared" si="3"/>
        <v>18</v>
      </c>
    </row>
    <row r="113" ht="14.25" customHeight="1" spans="3:10">
      <c r="C113" s="25">
        <v>103</v>
      </c>
      <c r="D113" s="5" t="s">
        <v>230</v>
      </c>
      <c r="E113" s="13" t="s">
        <v>231</v>
      </c>
      <c r="F113" s="34">
        <v>7</v>
      </c>
      <c r="G113" s="34">
        <v>34</v>
      </c>
      <c r="H113" s="34">
        <v>6</v>
      </c>
      <c r="I113" s="29">
        <f t="shared" si="4"/>
        <v>47</v>
      </c>
      <c r="J113" s="33">
        <f t="shared" si="3"/>
        <v>18.8</v>
      </c>
    </row>
    <row r="114" ht="14.25" customHeight="1" spans="3:10">
      <c r="C114" s="25">
        <v>104</v>
      </c>
      <c r="D114" s="5" t="s">
        <v>232</v>
      </c>
      <c r="E114" s="13" t="s">
        <v>233</v>
      </c>
      <c r="F114" s="34">
        <v>7</v>
      </c>
      <c r="G114" s="34">
        <v>33</v>
      </c>
      <c r="H114" s="34">
        <v>7</v>
      </c>
      <c r="I114" s="29">
        <f t="shared" si="4"/>
        <v>47</v>
      </c>
      <c r="J114" s="33">
        <f t="shared" si="3"/>
        <v>18.8</v>
      </c>
    </row>
    <row r="115" ht="14.25" customHeight="1" spans="3:10">
      <c r="C115" s="25">
        <v>105</v>
      </c>
      <c r="D115" s="5" t="s">
        <v>234</v>
      </c>
      <c r="E115" s="13" t="s">
        <v>235</v>
      </c>
      <c r="F115" s="34">
        <v>7</v>
      </c>
      <c r="G115" s="34">
        <v>35</v>
      </c>
      <c r="H115" s="34">
        <v>6</v>
      </c>
      <c r="I115" s="29">
        <f t="shared" si="4"/>
        <v>48</v>
      </c>
      <c r="J115" s="33">
        <f t="shared" si="3"/>
        <v>19.2</v>
      </c>
    </row>
    <row r="116" ht="14.25" customHeight="1" spans="3:10">
      <c r="C116" s="25">
        <v>106</v>
      </c>
      <c r="D116" s="5" t="s">
        <v>236</v>
      </c>
      <c r="E116" s="13" t="s">
        <v>237</v>
      </c>
      <c r="F116" s="34">
        <v>6</v>
      </c>
      <c r="G116" s="34">
        <v>34</v>
      </c>
      <c r="H116" s="34">
        <v>6</v>
      </c>
      <c r="I116" s="29">
        <f t="shared" si="4"/>
        <v>46</v>
      </c>
      <c r="J116" s="33">
        <f t="shared" si="3"/>
        <v>18.4</v>
      </c>
    </row>
    <row r="117" ht="14.25" customHeight="1" spans="3:10">
      <c r="C117" s="25">
        <v>107</v>
      </c>
      <c r="D117" s="5" t="s">
        <v>238</v>
      </c>
      <c r="E117" s="13" t="s">
        <v>239</v>
      </c>
      <c r="F117" s="34">
        <v>6</v>
      </c>
      <c r="G117" s="34">
        <v>33</v>
      </c>
      <c r="H117" s="34">
        <v>5</v>
      </c>
      <c r="I117" s="29">
        <f t="shared" si="4"/>
        <v>44</v>
      </c>
      <c r="J117" s="33">
        <f t="shared" si="3"/>
        <v>17.6</v>
      </c>
    </row>
    <row r="118" ht="14.25" customHeight="1" spans="3:10">
      <c r="C118" s="25">
        <v>108</v>
      </c>
      <c r="D118" s="5" t="s">
        <v>240</v>
      </c>
      <c r="E118" s="13" t="s">
        <v>241</v>
      </c>
      <c r="F118" s="34">
        <v>7</v>
      </c>
      <c r="G118" s="34">
        <v>33</v>
      </c>
      <c r="H118" s="34">
        <v>6</v>
      </c>
      <c r="I118" s="29">
        <f t="shared" si="4"/>
        <v>46</v>
      </c>
      <c r="J118" s="33">
        <f t="shared" si="3"/>
        <v>18.4</v>
      </c>
    </row>
    <row r="119" ht="14.25" customHeight="1" spans="3:10">
      <c r="C119" s="25">
        <v>109</v>
      </c>
      <c r="D119" s="5" t="s">
        <v>242</v>
      </c>
      <c r="E119" s="13" t="s">
        <v>243</v>
      </c>
      <c r="F119" s="34">
        <v>6</v>
      </c>
      <c r="G119" s="34">
        <v>34</v>
      </c>
      <c r="H119" s="34">
        <v>6</v>
      </c>
      <c r="I119" s="29">
        <f t="shared" si="4"/>
        <v>46</v>
      </c>
      <c r="J119" s="33">
        <f t="shared" si="3"/>
        <v>18.4</v>
      </c>
    </row>
    <row r="120" ht="14.25" customHeight="1" spans="3:10">
      <c r="C120" s="25">
        <v>110</v>
      </c>
      <c r="D120" s="5" t="s">
        <v>244</v>
      </c>
      <c r="E120" s="13" t="s">
        <v>245</v>
      </c>
      <c r="F120" s="34">
        <v>5</v>
      </c>
      <c r="G120" s="34">
        <v>35</v>
      </c>
      <c r="H120" s="34">
        <v>6</v>
      </c>
      <c r="I120" s="29">
        <f t="shared" si="4"/>
        <v>46</v>
      </c>
      <c r="J120" s="33">
        <f t="shared" si="3"/>
        <v>18.4</v>
      </c>
    </row>
    <row r="121" ht="14.25" customHeight="1" spans="3:10">
      <c r="C121" s="25">
        <v>111</v>
      </c>
      <c r="D121" s="5" t="s">
        <v>246</v>
      </c>
      <c r="E121" s="13" t="s">
        <v>247</v>
      </c>
      <c r="F121" s="34">
        <v>6</v>
      </c>
      <c r="G121" s="34">
        <v>32</v>
      </c>
      <c r="H121" s="34">
        <v>5</v>
      </c>
      <c r="I121" s="29">
        <f t="shared" si="4"/>
        <v>43</v>
      </c>
      <c r="J121" s="33">
        <f t="shared" si="3"/>
        <v>17.2</v>
      </c>
    </row>
    <row r="122" ht="14.25" customHeight="1" spans="3:10">
      <c r="C122" s="25">
        <v>112</v>
      </c>
      <c r="D122" s="5" t="s">
        <v>248</v>
      </c>
      <c r="E122" s="13" t="s">
        <v>249</v>
      </c>
      <c r="F122" s="34">
        <v>5</v>
      </c>
      <c r="G122" s="34">
        <v>32</v>
      </c>
      <c r="H122" s="34">
        <v>5</v>
      </c>
      <c r="I122" s="29">
        <f t="shared" si="4"/>
        <v>42</v>
      </c>
      <c r="J122" s="33">
        <f t="shared" si="3"/>
        <v>16.8</v>
      </c>
    </row>
    <row r="123" ht="22.15" customHeight="1" spans="3:10">
      <c r="C123" s="25">
        <v>113</v>
      </c>
      <c r="D123" s="5" t="s">
        <v>250</v>
      </c>
      <c r="E123" s="13" t="s">
        <v>251</v>
      </c>
      <c r="F123" s="34">
        <v>6</v>
      </c>
      <c r="G123" s="34">
        <v>32</v>
      </c>
      <c r="H123" s="34">
        <v>5</v>
      </c>
      <c r="I123" s="29">
        <f t="shared" si="4"/>
        <v>43</v>
      </c>
      <c r="J123" s="33">
        <f t="shared" si="3"/>
        <v>17.2</v>
      </c>
    </row>
    <row r="124" ht="14.25" customHeight="1" spans="3:10">
      <c r="C124" s="25">
        <v>114</v>
      </c>
      <c r="D124" s="5" t="s">
        <v>252</v>
      </c>
      <c r="E124" s="13" t="s">
        <v>253</v>
      </c>
      <c r="F124" s="34">
        <v>4</v>
      </c>
      <c r="G124" s="34">
        <v>30</v>
      </c>
      <c r="H124" s="34">
        <v>4</v>
      </c>
      <c r="I124" s="29">
        <f t="shared" si="4"/>
        <v>38</v>
      </c>
      <c r="J124" s="33">
        <f t="shared" si="3"/>
        <v>15.2</v>
      </c>
    </row>
    <row r="125" ht="14.25" customHeight="1" spans="3:10">
      <c r="C125" s="25">
        <v>115</v>
      </c>
      <c r="D125" s="5" t="s">
        <v>254</v>
      </c>
      <c r="E125" s="13" t="s">
        <v>255</v>
      </c>
      <c r="F125" s="34">
        <v>6</v>
      </c>
      <c r="G125" s="34">
        <v>35</v>
      </c>
      <c r="H125" s="34">
        <v>6</v>
      </c>
      <c r="I125" s="29">
        <f t="shared" si="4"/>
        <v>47</v>
      </c>
      <c r="J125" s="33">
        <f t="shared" si="3"/>
        <v>18.8</v>
      </c>
    </row>
    <row r="126" ht="14.25" customHeight="1" spans="3:10">
      <c r="C126" s="25">
        <v>116</v>
      </c>
      <c r="D126" s="5" t="s">
        <v>256</v>
      </c>
      <c r="E126" s="13" t="s">
        <v>257</v>
      </c>
      <c r="F126" s="34">
        <v>6</v>
      </c>
      <c r="G126" s="34">
        <v>32</v>
      </c>
      <c r="H126" s="34">
        <v>5</v>
      </c>
      <c r="I126" s="29">
        <f t="shared" si="4"/>
        <v>43</v>
      </c>
      <c r="J126" s="33">
        <f t="shared" si="3"/>
        <v>17.2</v>
      </c>
    </row>
    <row r="127" ht="14.25" customHeight="1" spans="3:10">
      <c r="C127" s="25">
        <v>117</v>
      </c>
      <c r="D127" s="5" t="s">
        <v>258</v>
      </c>
      <c r="E127" s="13" t="s">
        <v>259</v>
      </c>
      <c r="F127" s="34">
        <v>6</v>
      </c>
      <c r="G127" s="34">
        <v>33</v>
      </c>
      <c r="H127" s="34">
        <v>5</v>
      </c>
      <c r="I127" s="29">
        <f t="shared" si="4"/>
        <v>44</v>
      </c>
      <c r="J127" s="33">
        <f t="shared" si="3"/>
        <v>17.6</v>
      </c>
    </row>
    <row r="128" ht="14.25" customHeight="1" spans="3:10">
      <c r="C128" s="25">
        <v>118</v>
      </c>
      <c r="D128" s="5" t="s">
        <v>260</v>
      </c>
      <c r="E128" s="13" t="s">
        <v>261</v>
      </c>
      <c r="F128" s="34">
        <v>6</v>
      </c>
      <c r="G128" s="34">
        <v>32</v>
      </c>
      <c r="H128" s="34">
        <v>5</v>
      </c>
      <c r="I128" s="29">
        <f t="shared" si="4"/>
        <v>43</v>
      </c>
      <c r="J128" s="33">
        <f t="shared" si="3"/>
        <v>17.2</v>
      </c>
    </row>
    <row r="129" ht="14.25" customHeight="1" spans="3:10">
      <c r="C129" s="25">
        <v>119</v>
      </c>
      <c r="D129" s="5" t="s">
        <v>262</v>
      </c>
      <c r="E129" s="13" t="s">
        <v>263</v>
      </c>
      <c r="F129" s="34">
        <v>6</v>
      </c>
      <c r="G129" s="34">
        <v>34</v>
      </c>
      <c r="H129" s="34">
        <v>5</v>
      </c>
      <c r="I129" s="29">
        <f t="shared" si="4"/>
        <v>45</v>
      </c>
      <c r="J129" s="33">
        <f t="shared" si="3"/>
        <v>18</v>
      </c>
    </row>
    <row r="130" ht="14.25" customHeight="1" spans="3:10">
      <c r="C130" s="25">
        <v>120</v>
      </c>
      <c r="D130" s="5" t="s">
        <v>264</v>
      </c>
      <c r="E130" s="13" t="s">
        <v>265</v>
      </c>
      <c r="F130" s="34">
        <v>6</v>
      </c>
      <c r="G130" s="34">
        <v>34</v>
      </c>
      <c r="H130" s="34">
        <v>5</v>
      </c>
      <c r="I130" s="29">
        <f t="shared" si="4"/>
        <v>45</v>
      </c>
      <c r="J130" s="33">
        <f t="shared" si="3"/>
        <v>18</v>
      </c>
    </row>
    <row r="131" ht="14.25" customHeight="1" spans="3:10">
      <c r="C131" s="25">
        <v>121</v>
      </c>
      <c r="D131" s="5" t="s">
        <v>266</v>
      </c>
      <c r="E131" s="13" t="s">
        <v>267</v>
      </c>
      <c r="F131" s="34">
        <v>6</v>
      </c>
      <c r="G131" s="34">
        <v>30</v>
      </c>
      <c r="H131" s="34">
        <v>6</v>
      </c>
      <c r="I131" s="29">
        <f t="shared" si="4"/>
        <v>42</v>
      </c>
      <c r="J131" s="33">
        <f t="shared" si="3"/>
        <v>16.8</v>
      </c>
    </row>
    <row r="132" ht="14.25" customHeight="1" spans="3:10">
      <c r="C132" s="25">
        <v>122</v>
      </c>
      <c r="D132" s="5" t="s">
        <v>268</v>
      </c>
      <c r="E132" s="13" t="s">
        <v>269</v>
      </c>
      <c r="F132" s="34">
        <v>6</v>
      </c>
      <c r="G132" s="34">
        <v>34</v>
      </c>
      <c r="H132" s="34">
        <v>6</v>
      </c>
      <c r="I132" s="29">
        <f t="shared" si="4"/>
        <v>46</v>
      </c>
      <c r="J132" s="33">
        <f t="shared" si="3"/>
        <v>18.4</v>
      </c>
    </row>
    <row r="133" ht="14.25" customHeight="1" spans="3:10">
      <c r="C133" s="25">
        <v>123</v>
      </c>
      <c r="D133" s="5" t="s">
        <v>270</v>
      </c>
      <c r="E133" s="13" t="s">
        <v>271</v>
      </c>
      <c r="F133" s="34">
        <v>5</v>
      </c>
      <c r="G133" s="34">
        <v>30</v>
      </c>
      <c r="H133" s="34">
        <v>5</v>
      </c>
      <c r="I133" s="29">
        <f t="shared" si="4"/>
        <v>40</v>
      </c>
      <c r="J133" s="33">
        <f t="shared" si="3"/>
        <v>16</v>
      </c>
    </row>
    <row r="134" ht="14.25" customHeight="1" spans="3:10">
      <c r="C134" s="25">
        <v>124</v>
      </c>
      <c r="D134" s="5" t="s">
        <v>272</v>
      </c>
      <c r="E134" s="13" t="s">
        <v>273</v>
      </c>
      <c r="F134" s="34">
        <v>6</v>
      </c>
      <c r="G134" s="34">
        <v>34</v>
      </c>
      <c r="H134" s="34">
        <v>5</v>
      </c>
      <c r="I134" s="29">
        <f t="shared" si="4"/>
        <v>45</v>
      </c>
      <c r="J134" s="33">
        <f t="shared" si="3"/>
        <v>18</v>
      </c>
    </row>
    <row r="135" ht="14.25" customHeight="1" spans="3:10">
      <c r="C135" s="25">
        <v>125</v>
      </c>
      <c r="D135" s="5" t="s">
        <v>274</v>
      </c>
      <c r="E135" s="13" t="s">
        <v>275</v>
      </c>
      <c r="F135" s="34"/>
      <c r="G135" s="34"/>
      <c r="H135" s="34"/>
      <c r="I135" s="29">
        <f t="shared" si="4"/>
        <v>0</v>
      </c>
      <c r="J135" s="33">
        <f t="shared" si="3"/>
        <v>0</v>
      </c>
    </row>
    <row r="136" ht="14.25" customHeight="1" spans="3:10">
      <c r="C136" s="25">
        <v>126</v>
      </c>
      <c r="D136" s="5" t="s">
        <v>276</v>
      </c>
      <c r="E136" s="13" t="s">
        <v>277</v>
      </c>
      <c r="F136" s="34">
        <v>4</v>
      </c>
      <c r="G136" s="34">
        <v>32</v>
      </c>
      <c r="H136" s="34">
        <v>6</v>
      </c>
      <c r="I136" s="29">
        <f t="shared" si="4"/>
        <v>42</v>
      </c>
      <c r="J136" s="33">
        <f t="shared" si="3"/>
        <v>16.8</v>
      </c>
    </row>
    <row r="137" ht="14.25" customHeight="1" spans="3:10">
      <c r="C137" s="25">
        <v>127</v>
      </c>
      <c r="D137" s="5" t="s">
        <v>278</v>
      </c>
      <c r="E137" s="13" t="s">
        <v>279</v>
      </c>
      <c r="F137" s="34">
        <v>5</v>
      </c>
      <c r="G137" s="34">
        <v>32</v>
      </c>
      <c r="H137" s="34">
        <v>5</v>
      </c>
      <c r="I137" s="29">
        <f t="shared" si="4"/>
        <v>42</v>
      </c>
      <c r="J137" s="33">
        <f t="shared" si="3"/>
        <v>16.8</v>
      </c>
    </row>
    <row r="138" ht="14.25" customHeight="1" spans="3:10">
      <c r="C138" s="25">
        <v>128</v>
      </c>
      <c r="D138" s="5" t="s">
        <v>280</v>
      </c>
      <c r="E138" s="13" t="s">
        <v>281</v>
      </c>
      <c r="F138" s="34">
        <v>6</v>
      </c>
      <c r="G138" s="34">
        <v>33</v>
      </c>
      <c r="H138" s="34">
        <v>6</v>
      </c>
      <c r="I138" s="29">
        <f t="shared" ref="I138:I140" si="5">SUM(F138:H138)</f>
        <v>45</v>
      </c>
      <c r="J138" s="33">
        <f t="shared" si="3"/>
        <v>18</v>
      </c>
    </row>
    <row r="139" ht="14.25" customHeight="1" spans="3:10">
      <c r="C139" s="25">
        <v>129</v>
      </c>
      <c r="D139" s="5" t="s">
        <v>282</v>
      </c>
      <c r="E139" s="13" t="s">
        <v>283</v>
      </c>
      <c r="F139" s="34">
        <v>7</v>
      </c>
      <c r="G139" s="34">
        <v>33</v>
      </c>
      <c r="H139" s="34">
        <v>7</v>
      </c>
      <c r="I139" s="29">
        <f t="shared" si="5"/>
        <v>47</v>
      </c>
      <c r="J139" s="33">
        <f t="shared" si="3"/>
        <v>18.8</v>
      </c>
    </row>
    <row r="140" ht="14.25" customHeight="1" spans="3:10">
      <c r="C140" s="25">
        <v>130</v>
      </c>
      <c r="D140" s="5" t="s">
        <v>284</v>
      </c>
      <c r="E140" s="13" t="s">
        <v>285</v>
      </c>
      <c r="F140" s="34">
        <v>6</v>
      </c>
      <c r="G140" s="34">
        <v>32</v>
      </c>
      <c r="H140" s="34">
        <v>5</v>
      </c>
      <c r="I140" s="29">
        <f t="shared" si="5"/>
        <v>43</v>
      </c>
      <c r="J140" s="33">
        <f t="shared" ref="J140:J203" si="6">I140*0.4</f>
        <v>17.2</v>
      </c>
    </row>
    <row r="141" spans="3:10">
      <c r="C141" s="25">
        <v>131</v>
      </c>
      <c r="D141" s="5" t="s">
        <v>286</v>
      </c>
      <c r="E141" s="13" t="s">
        <v>287</v>
      </c>
      <c r="F141" s="34">
        <v>5</v>
      </c>
      <c r="G141" s="34">
        <v>30</v>
      </c>
      <c r="H141" s="34">
        <v>4</v>
      </c>
      <c r="I141" s="29">
        <f t="shared" ref="I141:I181" si="7">SUM(F141:H141)</f>
        <v>39</v>
      </c>
      <c r="J141" s="33">
        <f t="shared" si="6"/>
        <v>15.6</v>
      </c>
    </row>
    <row r="142" ht="14.25" customHeight="1" spans="3:10">
      <c r="C142" s="25">
        <v>132</v>
      </c>
      <c r="D142" s="5" t="s">
        <v>288</v>
      </c>
      <c r="E142" s="13" t="s">
        <v>289</v>
      </c>
      <c r="F142" s="34">
        <v>6</v>
      </c>
      <c r="G142" s="34">
        <v>34</v>
      </c>
      <c r="H142" s="34">
        <v>7</v>
      </c>
      <c r="I142" s="29">
        <f t="shared" si="7"/>
        <v>47</v>
      </c>
      <c r="J142" s="33">
        <f t="shared" si="6"/>
        <v>18.8</v>
      </c>
    </row>
    <row r="143" ht="14.25" customHeight="1" spans="3:10">
      <c r="C143" s="25">
        <v>133</v>
      </c>
      <c r="D143" s="5" t="s">
        <v>290</v>
      </c>
      <c r="E143" s="13" t="s">
        <v>291</v>
      </c>
      <c r="F143" s="34">
        <v>0</v>
      </c>
      <c r="G143" s="34">
        <v>0</v>
      </c>
      <c r="H143" s="34">
        <v>0</v>
      </c>
      <c r="I143" s="29">
        <f t="shared" si="7"/>
        <v>0</v>
      </c>
      <c r="J143" s="33">
        <f t="shared" si="6"/>
        <v>0</v>
      </c>
    </row>
    <row r="144" ht="14.25" customHeight="1" spans="3:10">
      <c r="C144" s="25">
        <v>134</v>
      </c>
      <c r="D144" s="5" t="s">
        <v>292</v>
      </c>
      <c r="E144" s="13" t="s">
        <v>293</v>
      </c>
      <c r="F144" s="34">
        <v>5</v>
      </c>
      <c r="G144" s="34">
        <v>33</v>
      </c>
      <c r="H144" s="34">
        <v>5</v>
      </c>
      <c r="I144" s="29">
        <f t="shared" si="7"/>
        <v>43</v>
      </c>
      <c r="J144" s="33">
        <f t="shared" si="6"/>
        <v>17.2</v>
      </c>
    </row>
    <row r="145" spans="3:10">
      <c r="C145" s="25">
        <v>135</v>
      </c>
      <c r="D145" s="5" t="s">
        <v>295</v>
      </c>
      <c r="E145" s="13" t="s">
        <v>296</v>
      </c>
      <c r="F145" s="35">
        <v>7</v>
      </c>
      <c r="G145" s="34">
        <v>33</v>
      </c>
      <c r="H145" s="34">
        <v>7</v>
      </c>
      <c r="I145" s="29">
        <f t="shared" si="7"/>
        <v>47</v>
      </c>
      <c r="J145" s="33">
        <f t="shared" si="6"/>
        <v>18.8</v>
      </c>
    </row>
    <row r="146" ht="14.25" customHeight="1" spans="3:10">
      <c r="C146" s="25">
        <v>136</v>
      </c>
      <c r="D146" s="5" t="s">
        <v>297</v>
      </c>
      <c r="E146" s="13" t="s">
        <v>298</v>
      </c>
      <c r="F146" s="34">
        <v>6</v>
      </c>
      <c r="G146" s="34">
        <v>34</v>
      </c>
      <c r="H146" s="34">
        <v>5</v>
      </c>
      <c r="I146" s="29">
        <f t="shared" si="7"/>
        <v>45</v>
      </c>
      <c r="J146" s="33">
        <f t="shared" si="6"/>
        <v>18</v>
      </c>
    </row>
    <row r="147" ht="14.25" customHeight="1" spans="3:10">
      <c r="C147" s="25">
        <v>137</v>
      </c>
      <c r="D147" s="5" t="s">
        <v>299</v>
      </c>
      <c r="E147" s="13" t="s">
        <v>300</v>
      </c>
      <c r="F147" s="34">
        <v>7</v>
      </c>
      <c r="G147" s="34">
        <v>35</v>
      </c>
      <c r="H147" s="34">
        <v>7</v>
      </c>
      <c r="I147" s="29">
        <f t="shared" si="7"/>
        <v>49</v>
      </c>
      <c r="J147" s="33">
        <f t="shared" si="6"/>
        <v>19.6</v>
      </c>
    </row>
    <row r="148" ht="14.25" customHeight="1" spans="3:10">
      <c r="C148" s="25">
        <v>138</v>
      </c>
      <c r="D148" s="5" t="s">
        <v>301</v>
      </c>
      <c r="E148" s="13" t="s">
        <v>302</v>
      </c>
      <c r="F148" s="34">
        <v>6</v>
      </c>
      <c r="G148" s="34">
        <v>34</v>
      </c>
      <c r="H148" s="34">
        <v>7</v>
      </c>
      <c r="I148" s="29">
        <f t="shared" si="7"/>
        <v>47</v>
      </c>
      <c r="J148" s="33">
        <f t="shared" si="6"/>
        <v>18.8</v>
      </c>
    </row>
    <row r="149" ht="14.25" customHeight="1" spans="3:10">
      <c r="C149" s="25">
        <v>139</v>
      </c>
      <c r="D149" s="5" t="s">
        <v>303</v>
      </c>
      <c r="E149" s="13" t="s">
        <v>304</v>
      </c>
      <c r="F149" s="34">
        <v>6</v>
      </c>
      <c r="G149" s="34">
        <v>30</v>
      </c>
      <c r="H149" s="34">
        <v>5</v>
      </c>
      <c r="I149" s="29">
        <f t="shared" si="7"/>
        <v>41</v>
      </c>
      <c r="J149" s="33">
        <f t="shared" si="6"/>
        <v>16.4</v>
      </c>
    </row>
    <row r="150" ht="14.25" customHeight="1" spans="3:10">
      <c r="C150" s="25">
        <v>140</v>
      </c>
      <c r="D150" s="5" t="s">
        <v>305</v>
      </c>
      <c r="E150" s="13" t="s">
        <v>306</v>
      </c>
      <c r="F150" s="34">
        <v>6</v>
      </c>
      <c r="G150" s="34">
        <v>33</v>
      </c>
      <c r="H150" s="34">
        <v>6</v>
      </c>
      <c r="I150" s="29">
        <f t="shared" si="7"/>
        <v>45</v>
      </c>
      <c r="J150" s="33">
        <f t="shared" si="6"/>
        <v>18</v>
      </c>
    </row>
    <row r="151" ht="14.25" customHeight="1" spans="3:10">
      <c r="C151" s="25">
        <v>141</v>
      </c>
      <c r="D151" s="5" t="s">
        <v>307</v>
      </c>
      <c r="E151" s="13" t="s">
        <v>308</v>
      </c>
      <c r="F151" s="34">
        <v>6</v>
      </c>
      <c r="G151" s="34">
        <v>33</v>
      </c>
      <c r="H151" s="34">
        <v>6</v>
      </c>
      <c r="I151" s="29">
        <f t="shared" si="7"/>
        <v>45</v>
      </c>
      <c r="J151" s="33">
        <f t="shared" si="6"/>
        <v>18</v>
      </c>
    </row>
    <row r="152" ht="14.25" customHeight="1" spans="3:10">
      <c r="C152" s="25">
        <v>142</v>
      </c>
      <c r="D152" s="5" t="s">
        <v>309</v>
      </c>
      <c r="E152" s="13" t="s">
        <v>310</v>
      </c>
      <c r="F152" s="34">
        <v>8</v>
      </c>
      <c r="G152" s="34">
        <v>35</v>
      </c>
      <c r="H152" s="34">
        <v>7</v>
      </c>
      <c r="I152" s="29">
        <f t="shared" si="7"/>
        <v>50</v>
      </c>
      <c r="J152" s="33">
        <f t="shared" si="6"/>
        <v>20</v>
      </c>
    </row>
    <row r="153" ht="14.25" customHeight="1" spans="3:10">
      <c r="C153" s="25">
        <v>143</v>
      </c>
      <c r="D153" s="5" t="s">
        <v>311</v>
      </c>
      <c r="E153" s="13" t="s">
        <v>312</v>
      </c>
      <c r="F153" s="34">
        <v>5</v>
      </c>
      <c r="G153" s="34">
        <v>33</v>
      </c>
      <c r="H153" s="34">
        <v>6</v>
      </c>
      <c r="I153" s="29">
        <f t="shared" si="7"/>
        <v>44</v>
      </c>
      <c r="J153" s="33">
        <f t="shared" si="6"/>
        <v>17.6</v>
      </c>
    </row>
    <row r="154" ht="14.25" customHeight="1" spans="3:10">
      <c r="C154" s="25">
        <v>144</v>
      </c>
      <c r="D154" s="5" t="s">
        <v>313</v>
      </c>
      <c r="E154" s="13" t="s">
        <v>314</v>
      </c>
      <c r="F154" s="34">
        <v>6</v>
      </c>
      <c r="G154" s="34">
        <v>34</v>
      </c>
      <c r="H154" s="34">
        <v>6</v>
      </c>
      <c r="I154" s="29">
        <f t="shared" si="7"/>
        <v>46</v>
      </c>
      <c r="J154" s="33">
        <f t="shared" si="6"/>
        <v>18.4</v>
      </c>
    </row>
    <row r="155" ht="14.25" customHeight="1" spans="3:10">
      <c r="C155" s="25">
        <v>145</v>
      </c>
      <c r="D155" s="5" t="s">
        <v>315</v>
      </c>
      <c r="E155" s="13" t="s">
        <v>316</v>
      </c>
      <c r="F155" s="34">
        <v>6</v>
      </c>
      <c r="G155" s="34">
        <v>34</v>
      </c>
      <c r="H155" s="34">
        <v>5</v>
      </c>
      <c r="I155" s="29">
        <f t="shared" si="7"/>
        <v>45</v>
      </c>
      <c r="J155" s="33">
        <f t="shared" si="6"/>
        <v>18</v>
      </c>
    </row>
    <row r="156" ht="14.25" customHeight="1" spans="3:10">
      <c r="C156" s="25">
        <v>146</v>
      </c>
      <c r="D156" s="5" t="s">
        <v>317</v>
      </c>
      <c r="E156" s="13" t="s">
        <v>318</v>
      </c>
      <c r="F156" s="34">
        <v>5</v>
      </c>
      <c r="G156" s="34">
        <v>30</v>
      </c>
      <c r="H156" s="34">
        <v>5</v>
      </c>
      <c r="I156" s="29">
        <f t="shared" si="7"/>
        <v>40</v>
      </c>
      <c r="J156" s="33">
        <f t="shared" si="6"/>
        <v>16</v>
      </c>
    </row>
    <row r="157" ht="14.25" customHeight="1" spans="3:10">
      <c r="C157" s="25">
        <v>147</v>
      </c>
      <c r="D157" s="5" t="s">
        <v>319</v>
      </c>
      <c r="E157" s="13" t="s">
        <v>320</v>
      </c>
      <c r="F157" s="34">
        <v>5</v>
      </c>
      <c r="G157" s="34">
        <v>32</v>
      </c>
      <c r="H157" s="34">
        <v>5</v>
      </c>
      <c r="I157" s="29">
        <f t="shared" si="7"/>
        <v>42</v>
      </c>
      <c r="J157" s="33">
        <f t="shared" si="6"/>
        <v>16.8</v>
      </c>
    </row>
    <row r="158" ht="14.25" customHeight="1" spans="3:10">
      <c r="C158" s="25">
        <v>148</v>
      </c>
      <c r="D158" s="5" t="s">
        <v>321</v>
      </c>
      <c r="E158" s="13" t="s">
        <v>322</v>
      </c>
      <c r="F158" s="34">
        <v>6</v>
      </c>
      <c r="G158" s="34">
        <v>33</v>
      </c>
      <c r="H158" s="34">
        <v>5</v>
      </c>
      <c r="I158" s="29">
        <f t="shared" si="7"/>
        <v>44</v>
      </c>
      <c r="J158" s="33">
        <f t="shared" si="6"/>
        <v>17.6</v>
      </c>
    </row>
    <row r="159" ht="14.25" customHeight="1" spans="3:10">
      <c r="C159" s="25">
        <v>149</v>
      </c>
      <c r="D159" s="5" t="s">
        <v>323</v>
      </c>
      <c r="E159" s="13" t="s">
        <v>324</v>
      </c>
      <c r="F159" s="34">
        <v>5</v>
      </c>
      <c r="G159" s="34">
        <v>33</v>
      </c>
      <c r="H159" s="34">
        <v>6</v>
      </c>
      <c r="I159" s="29">
        <f t="shared" si="7"/>
        <v>44</v>
      </c>
      <c r="J159" s="33">
        <f t="shared" si="6"/>
        <v>17.6</v>
      </c>
    </row>
    <row r="160" ht="14.25" customHeight="1" spans="3:10">
      <c r="C160" s="25">
        <v>150</v>
      </c>
      <c r="D160" s="5" t="s">
        <v>325</v>
      </c>
      <c r="E160" s="13" t="s">
        <v>326</v>
      </c>
      <c r="F160" s="34">
        <v>6</v>
      </c>
      <c r="G160" s="34">
        <v>34</v>
      </c>
      <c r="H160" s="34">
        <v>5</v>
      </c>
      <c r="I160" s="29">
        <f t="shared" si="7"/>
        <v>45</v>
      </c>
      <c r="J160" s="33">
        <f t="shared" si="6"/>
        <v>18</v>
      </c>
    </row>
    <row r="161" ht="14.25" customHeight="1" spans="3:10">
      <c r="C161" s="25">
        <v>151</v>
      </c>
      <c r="D161" s="5" t="s">
        <v>327</v>
      </c>
      <c r="E161" s="13" t="s">
        <v>328</v>
      </c>
      <c r="F161" s="34">
        <v>6</v>
      </c>
      <c r="G161" s="34">
        <v>30</v>
      </c>
      <c r="H161" s="34">
        <v>6</v>
      </c>
      <c r="I161" s="29">
        <f t="shared" si="7"/>
        <v>42</v>
      </c>
      <c r="J161" s="33">
        <f t="shared" si="6"/>
        <v>16.8</v>
      </c>
    </row>
    <row r="162" ht="14.25" customHeight="1" spans="3:10">
      <c r="C162" s="25">
        <v>152</v>
      </c>
      <c r="D162" s="5" t="s">
        <v>329</v>
      </c>
      <c r="E162" s="13" t="s">
        <v>330</v>
      </c>
      <c r="F162" s="34">
        <v>6</v>
      </c>
      <c r="G162" s="34">
        <v>31</v>
      </c>
      <c r="H162" s="34">
        <v>4</v>
      </c>
      <c r="I162" s="29">
        <f t="shared" si="7"/>
        <v>41</v>
      </c>
      <c r="J162" s="33">
        <f t="shared" si="6"/>
        <v>16.4</v>
      </c>
    </row>
    <row r="163" ht="14.25" customHeight="1" spans="3:10">
      <c r="C163" s="25">
        <v>153</v>
      </c>
      <c r="D163" s="5" t="s">
        <v>331</v>
      </c>
      <c r="E163" s="13" t="s">
        <v>332</v>
      </c>
      <c r="F163" s="34">
        <v>4</v>
      </c>
      <c r="G163" s="34">
        <v>30</v>
      </c>
      <c r="H163" s="34">
        <v>5</v>
      </c>
      <c r="I163" s="29">
        <f t="shared" si="7"/>
        <v>39</v>
      </c>
      <c r="J163" s="33">
        <f t="shared" si="6"/>
        <v>15.6</v>
      </c>
    </row>
    <row r="164" ht="14.25" customHeight="1" spans="3:10">
      <c r="C164" s="25">
        <v>154</v>
      </c>
      <c r="D164" s="5" t="s">
        <v>333</v>
      </c>
      <c r="E164" s="13" t="s">
        <v>334</v>
      </c>
      <c r="F164" s="34">
        <v>6</v>
      </c>
      <c r="G164" s="34">
        <v>32</v>
      </c>
      <c r="H164" s="34">
        <v>4</v>
      </c>
      <c r="I164" s="29">
        <f t="shared" si="7"/>
        <v>42</v>
      </c>
      <c r="J164" s="33">
        <f t="shared" si="6"/>
        <v>16.8</v>
      </c>
    </row>
    <row r="165" ht="14.25" customHeight="1" spans="3:10">
      <c r="C165" s="25">
        <v>155</v>
      </c>
      <c r="D165" s="5" t="s">
        <v>335</v>
      </c>
      <c r="E165" s="13" t="s">
        <v>336</v>
      </c>
      <c r="F165" s="34">
        <v>5</v>
      </c>
      <c r="G165" s="34">
        <v>32</v>
      </c>
      <c r="H165" s="34">
        <v>5</v>
      </c>
      <c r="I165" s="29">
        <f t="shared" si="7"/>
        <v>42</v>
      </c>
      <c r="J165" s="33">
        <f t="shared" si="6"/>
        <v>16.8</v>
      </c>
    </row>
    <row r="166" ht="14.25" customHeight="1" spans="3:10">
      <c r="C166" s="25">
        <v>156</v>
      </c>
      <c r="D166" s="5" t="s">
        <v>337</v>
      </c>
      <c r="E166" s="13" t="s">
        <v>338</v>
      </c>
      <c r="F166" s="34">
        <v>8</v>
      </c>
      <c r="G166" s="34">
        <v>35</v>
      </c>
      <c r="H166" s="34">
        <v>6</v>
      </c>
      <c r="I166" s="29">
        <f t="shared" si="7"/>
        <v>49</v>
      </c>
      <c r="J166" s="33">
        <f t="shared" si="6"/>
        <v>19.6</v>
      </c>
    </row>
    <row r="167" ht="14.25" customHeight="1" spans="3:10">
      <c r="C167" s="25">
        <v>157</v>
      </c>
      <c r="D167" s="5" t="s">
        <v>339</v>
      </c>
      <c r="E167" s="13" t="s">
        <v>340</v>
      </c>
      <c r="F167" s="34">
        <v>6</v>
      </c>
      <c r="G167" s="34">
        <v>33</v>
      </c>
      <c r="H167" s="34">
        <v>6</v>
      </c>
      <c r="I167" s="29">
        <f t="shared" si="7"/>
        <v>45</v>
      </c>
      <c r="J167" s="33">
        <f t="shared" si="6"/>
        <v>18</v>
      </c>
    </row>
    <row r="168" ht="14.25" customHeight="1" spans="3:10">
      <c r="C168" s="25">
        <v>158</v>
      </c>
      <c r="D168" s="5" t="s">
        <v>341</v>
      </c>
      <c r="E168" s="13" t="s">
        <v>342</v>
      </c>
      <c r="F168" s="34">
        <v>5</v>
      </c>
      <c r="G168" s="34">
        <v>32</v>
      </c>
      <c r="H168" s="34">
        <v>4</v>
      </c>
      <c r="I168" s="29">
        <f t="shared" si="7"/>
        <v>41</v>
      </c>
      <c r="J168" s="33">
        <f t="shared" si="6"/>
        <v>16.4</v>
      </c>
    </row>
    <row r="169" ht="14.25" customHeight="1" spans="3:10">
      <c r="C169" s="25">
        <v>159</v>
      </c>
      <c r="D169" s="5" t="s">
        <v>343</v>
      </c>
      <c r="E169" s="13" t="s">
        <v>344</v>
      </c>
      <c r="F169" s="34">
        <v>4</v>
      </c>
      <c r="G169" s="34">
        <v>30</v>
      </c>
      <c r="H169" s="34">
        <v>4</v>
      </c>
      <c r="I169" s="29">
        <f t="shared" si="7"/>
        <v>38</v>
      </c>
      <c r="J169" s="33">
        <f t="shared" si="6"/>
        <v>15.2</v>
      </c>
    </row>
    <row r="170" ht="14.25" customHeight="1" spans="3:10">
      <c r="C170" s="25">
        <v>160</v>
      </c>
      <c r="D170" s="5" t="s">
        <v>345</v>
      </c>
      <c r="E170" s="13" t="s">
        <v>346</v>
      </c>
      <c r="F170" s="34">
        <v>6</v>
      </c>
      <c r="G170" s="34">
        <v>32</v>
      </c>
      <c r="H170" s="34">
        <v>4</v>
      </c>
      <c r="I170" s="29">
        <f t="shared" si="7"/>
        <v>42</v>
      </c>
      <c r="J170" s="33">
        <f t="shared" si="6"/>
        <v>16.8</v>
      </c>
    </row>
    <row r="171" ht="14.25" customHeight="1" spans="3:10">
      <c r="C171" s="25">
        <v>161</v>
      </c>
      <c r="D171" s="5" t="s">
        <v>347</v>
      </c>
      <c r="E171" s="13" t="s">
        <v>348</v>
      </c>
      <c r="F171" s="34">
        <v>5</v>
      </c>
      <c r="G171" s="34">
        <v>32</v>
      </c>
      <c r="H171" s="34">
        <v>5</v>
      </c>
      <c r="I171" s="29">
        <f t="shared" si="7"/>
        <v>42</v>
      </c>
      <c r="J171" s="33">
        <f t="shared" si="6"/>
        <v>16.8</v>
      </c>
    </row>
    <row r="172" ht="14.25" customHeight="1" spans="3:10">
      <c r="C172" s="25">
        <v>162</v>
      </c>
      <c r="D172" s="5" t="s">
        <v>349</v>
      </c>
      <c r="E172" s="13" t="s">
        <v>350</v>
      </c>
      <c r="F172" s="34">
        <v>6</v>
      </c>
      <c r="G172" s="34">
        <v>38</v>
      </c>
      <c r="H172" s="34">
        <v>5</v>
      </c>
      <c r="I172" s="29">
        <f t="shared" si="7"/>
        <v>49</v>
      </c>
      <c r="J172" s="33">
        <f t="shared" si="6"/>
        <v>19.6</v>
      </c>
    </row>
    <row r="173" ht="14.25" customHeight="1" spans="3:10">
      <c r="C173" s="25">
        <v>163</v>
      </c>
      <c r="D173" s="5" t="s">
        <v>351</v>
      </c>
      <c r="E173" s="13" t="s">
        <v>352</v>
      </c>
      <c r="F173" s="34">
        <v>6</v>
      </c>
      <c r="G173" s="34">
        <v>34</v>
      </c>
      <c r="H173" s="34">
        <v>5</v>
      </c>
      <c r="I173" s="29">
        <f t="shared" si="7"/>
        <v>45</v>
      </c>
      <c r="J173" s="33">
        <f t="shared" si="6"/>
        <v>18</v>
      </c>
    </row>
    <row r="174" ht="14.25" customHeight="1" spans="3:10">
      <c r="C174" s="25">
        <v>164</v>
      </c>
      <c r="D174" s="5" t="s">
        <v>353</v>
      </c>
      <c r="E174" s="13" t="s">
        <v>354</v>
      </c>
      <c r="F174" s="34">
        <v>7</v>
      </c>
      <c r="G174" s="34">
        <v>33</v>
      </c>
      <c r="H174" s="34">
        <v>5</v>
      </c>
      <c r="I174" s="29">
        <f t="shared" si="7"/>
        <v>45</v>
      </c>
      <c r="J174" s="33">
        <f t="shared" si="6"/>
        <v>18</v>
      </c>
    </row>
    <row r="175" ht="14.25" customHeight="1" spans="3:10">
      <c r="C175" s="25">
        <v>165</v>
      </c>
      <c r="D175" s="5" t="s">
        <v>355</v>
      </c>
      <c r="E175" s="13" t="s">
        <v>356</v>
      </c>
      <c r="F175" s="34">
        <v>6</v>
      </c>
      <c r="G175" s="34">
        <v>34</v>
      </c>
      <c r="H175" s="34">
        <v>7</v>
      </c>
      <c r="I175" s="29">
        <f t="shared" si="7"/>
        <v>47</v>
      </c>
      <c r="J175" s="33">
        <f t="shared" si="6"/>
        <v>18.8</v>
      </c>
    </row>
    <row r="176" ht="14.25" customHeight="1" spans="3:10">
      <c r="C176" s="25">
        <v>166</v>
      </c>
      <c r="D176" s="5" t="s">
        <v>357</v>
      </c>
      <c r="E176" s="13" t="s">
        <v>358</v>
      </c>
      <c r="F176" s="34">
        <v>8</v>
      </c>
      <c r="G176" s="34">
        <v>35</v>
      </c>
      <c r="H176" s="34">
        <v>6</v>
      </c>
      <c r="I176" s="29">
        <f t="shared" si="7"/>
        <v>49</v>
      </c>
      <c r="J176" s="33">
        <f t="shared" si="6"/>
        <v>19.6</v>
      </c>
    </row>
    <row r="177" ht="14.25" customHeight="1" spans="3:10">
      <c r="C177" s="25">
        <v>167</v>
      </c>
      <c r="D177" s="5" t="s">
        <v>359</v>
      </c>
      <c r="E177" s="13" t="s">
        <v>360</v>
      </c>
      <c r="F177" s="34">
        <v>8</v>
      </c>
      <c r="G177" s="34">
        <v>35</v>
      </c>
      <c r="H177" s="34">
        <v>7</v>
      </c>
      <c r="I177" s="29">
        <f t="shared" si="7"/>
        <v>50</v>
      </c>
      <c r="J177" s="33">
        <f t="shared" si="6"/>
        <v>20</v>
      </c>
    </row>
    <row r="178" ht="14.25" customHeight="1" spans="3:10">
      <c r="C178" s="25">
        <v>168</v>
      </c>
      <c r="D178" s="5" t="s">
        <v>361</v>
      </c>
      <c r="E178" s="13" t="s">
        <v>362</v>
      </c>
      <c r="F178" s="34">
        <v>6</v>
      </c>
      <c r="G178" s="34">
        <v>34</v>
      </c>
      <c r="H178" s="34">
        <v>5</v>
      </c>
      <c r="I178" s="29">
        <f t="shared" si="7"/>
        <v>45</v>
      </c>
      <c r="J178" s="33">
        <f t="shared" si="6"/>
        <v>18</v>
      </c>
    </row>
    <row r="179" ht="14.25" customHeight="1" spans="3:10">
      <c r="C179" s="25">
        <v>169</v>
      </c>
      <c r="D179" s="5" t="s">
        <v>363</v>
      </c>
      <c r="E179" s="13" t="s">
        <v>364</v>
      </c>
      <c r="F179" s="34">
        <v>4</v>
      </c>
      <c r="G179" s="34">
        <v>28</v>
      </c>
      <c r="H179" s="34">
        <v>4</v>
      </c>
      <c r="I179" s="29">
        <f t="shared" si="7"/>
        <v>36</v>
      </c>
      <c r="J179" s="33">
        <f t="shared" si="6"/>
        <v>14.4</v>
      </c>
    </row>
    <row r="180" ht="14.25" customHeight="1" spans="3:10">
      <c r="C180" s="25">
        <v>170</v>
      </c>
      <c r="D180" s="5" t="s">
        <v>365</v>
      </c>
      <c r="E180" s="13" t="s">
        <v>366</v>
      </c>
      <c r="F180" s="34">
        <v>6</v>
      </c>
      <c r="G180" s="34">
        <v>32</v>
      </c>
      <c r="H180" s="34">
        <v>5</v>
      </c>
      <c r="I180" s="29">
        <f t="shared" si="7"/>
        <v>43</v>
      </c>
      <c r="J180" s="33">
        <f t="shared" si="6"/>
        <v>17.2</v>
      </c>
    </row>
    <row r="181" ht="14.25" customHeight="1" spans="3:10">
      <c r="C181" s="25">
        <v>171</v>
      </c>
      <c r="D181" s="5" t="s">
        <v>367</v>
      </c>
      <c r="E181" s="13" t="s">
        <v>368</v>
      </c>
      <c r="F181" s="34">
        <v>6</v>
      </c>
      <c r="G181" s="34">
        <v>33</v>
      </c>
      <c r="H181" s="34">
        <v>4</v>
      </c>
      <c r="I181" s="29">
        <f t="shared" si="7"/>
        <v>43</v>
      </c>
      <c r="J181" s="33">
        <f t="shared" si="6"/>
        <v>17.2</v>
      </c>
    </row>
    <row r="182" ht="14.25" customHeight="1" spans="3:10">
      <c r="C182" s="25">
        <v>172</v>
      </c>
      <c r="D182" s="5" t="s">
        <v>369</v>
      </c>
      <c r="E182" s="13" t="s">
        <v>370</v>
      </c>
      <c r="F182" s="34">
        <v>4</v>
      </c>
      <c r="G182" s="34">
        <v>30</v>
      </c>
      <c r="H182" s="34">
        <v>3</v>
      </c>
      <c r="I182" s="29">
        <f t="shared" ref="I182:I217" si="8">SUM(F182:H182)</f>
        <v>37</v>
      </c>
      <c r="J182" s="33">
        <f t="shared" si="6"/>
        <v>14.8</v>
      </c>
    </row>
    <row r="183" ht="14.25" customHeight="1" spans="3:10">
      <c r="C183" s="25">
        <v>173</v>
      </c>
      <c r="D183" s="5" t="s">
        <v>371</v>
      </c>
      <c r="E183" s="13" t="s">
        <v>372</v>
      </c>
      <c r="F183" s="34">
        <v>5</v>
      </c>
      <c r="G183" s="34">
        <v>33</v>
      </c>
      <c r="H183" s="34">
        <v>5</v>
      </c>
      <c r="I183" s="29">
        <f t="shared" si="8"/>
        <v>43</v>
      </c>
      <c r="J183" s="33">
        <f t="shared" si="6"/>
        <v>17.2</v>
      </c>
    </row>
    <row r="184" ht="14.25" customHeight="1" spans="3:10">
      <c r="C184" s="25">
        <v>174</v>
      </c>
      <c r="D184" s="5" t="s">
        <v>373</v>
      </c>
      <c r="E184" s="13" t="s">
        <v>374</v>
      </c>
      <c r="F184" s="34">
        <v>6</v>
      </c>
      <c r="G184" s="34">
        <v>32</v>
      </c>
      <c r="H184" s="34">
        <v>3</v>
      </c>
      <c r="I184" s="29">
        <f t="shared" si="8"/>
        <v>41</v>
      </c>
      <c r="J184" s="33">
        <f t="shared" si="6"/>
        <v>16.4</v>
      </c>
    </row>
    <row r="185" ht="14.25" customHeight="1" spans="3:10">
      <c r="C185" s="25">
        <v>175</v>
      </c>
      <c r="D185" s="5" t="s">
        <v>375</v>
      </c>
      <c r="E185" s="13" t="s">
        <v>376</v>
      </c>
      <c r="F185" s="34">
        <v>5</v>
      </c>
      <c r="G185" s="34">
        <v>30</v>
      </c>
      <c r="H185" s="34">
        <v>5</v>
      </c>
      <c r="I185" s="29">
        <f t="shared" si="8"/>
        <v>40</v>
      </c>
      <c r="J185" s="33">
        <f t="shared" si="6"/>
        <v>16</v>
      </c>
    </row>
    <row r="186" ht="14.25" customHeight="1" spans="3:10">
      <c r="C186" s="25">
        <v>176</v>
      </c>
      <c r="D186" s="5" t="s">
        <v>377</v>
      </c>
      <c r="E186" s="13" t="s">
        <v>378</v>
      </c>
      <c r="F186" s="34">
        <v>6</v>
      </c>
      <c r="G186" s="34">
        <v>33</v>
      </c>
      <c r="H186" s="34">
        <v>6</v>
      </c>
      <c r="I186" s="29">
        <f t="shared" si="8"/>
        <v>45</v>
      </c>
      <c r="J186" s="33">
        <f t="shared" si="6"/>
        <v>18</v>
      </c>
    </row>
    <row r="187" ht="14.25" customHeight="1" spans="3:10">
      <c r="C187" s="25">
        <v>177</v>
      </c>
      <c r="D187" s="5" t="s">
        <v>379</v>
      </c>
      <c r="E187" s="13" t="s">
        <v>380</v>
      </c>
      <c r="F187" s="34">
        <v>7</v>
      </c>
      <c r="G187" s="34">
        <v>33</v>
      </c>
      <c r="H187" s="34">
        <v>7</v>
      </c>
      <c r="I187" s="29">
        <f t="shared" si="8"/>
        <v>47</v>
      </c>
      <c r="J187" s="33">
        <f t="shared" si="6"/>
        <v>18.8</v>
      </c>
    </row>
    <row r="188" ht="14.25" customHeight="1" spans="3:10">
      <c r="C188" s="25">
        <v>178</v>
      </c>
      <c r="D188" s="5" t="s">
        <v>381</v>
      </c>
      <c r="E188" s="13" t="s">
        <v>382</v>
      </c>
      <c r="F188" s="34">
        <v>5</v>
      </c>
      <c r="G188" s="34">
        <v>33</v>
      </c>
      <c r="H188" s="34">
        <v>6</v>
      </c>
      <c r="I188" s="29">
        <f t="shared" si="8"/>
        <v>44</v>
      </c>
      <c r="J188" s="33">
        <f t="shared" si="6"/>
        <v>17.6</v>
      </c>
    </row>
    <row r="189" ht="14.25" customHeight="1" spans="3:10">
      <c r="C189" s="25">
        <v>179</v>
      </c>
      <c r="D189" s="5" t="s">
        <v>383</v>
      </c>
      <c r="E189" s="13" t="s">
        <v>384</v>
      </c>
      <c r="F189" s="34">
        <v>5</v>
      </c>
      <c r="G189" s="34">
        <v>33</v>
      </c>
      <c r="H189" s="34">
        <v>5</v>
      </c>
      <c r="I189" s="29">
        <f t="shared" si="8"/>
        <v>43</v>
      </c>
      <c r="J189" s="33">
        <f t="shared" si="6"/>
        <v>17.2</v>
      </c>
    </row>
    <row r="190" ht="14.25" customHeight="1" spans="3:10">
      <c r="C190" s="25">
        <v>180</v>
      </c>
      <c r="D190" s="5" t="s">
        <v>385</v>
      </c>
      <c r="E190" s="13" t="s">
        <v>386</v>
      </c>
      <c r="F190" s="34">
        <v>6</v>
      </c>
      <c r="G190" s="34">
        <v>34</v>
      </c>
      <c r="H190" s="34">
        <v>6</v>
      </c>
      <c r="I190" s="29">
        <f t="shared" si="8"/>
        <v>46</v>
      </c>
      <c r="J190" s="33">
        <f t="shared" si="6"/>
        <v>18.4</v>
      </c>
    </row>
    <row r="191" ht="14.25" customHeight="1" spans="3:10">
      <c r="C191" s="25">
        <v>181</v>
      </c>
      <c r="D191" s="5" t="s">
        <v>387</v>
      </c>
      <c r="E191" s="13" t="s">
        <v>388</v>
      </c>
      <c r="F191" s="34">
        <v>4</v>
      </c>
      <c r="G191" s="34">
        <v>30</v>
      </c>
      <c r="H191" s="34">
        <v>6</v>
      </c>
      <c r="I191" s="29">
        <f t="shared" si="8"/>
        <v>40</v>
      </c>
      <c r="J191" s="33">
        <f t="shared" si="6"/>
        <v>16</v>
      </c>
    </row>
    <row r="192" ht="14.25" customHeight="1" spans="3:10">
      <c r="C192" s="25">
        <v>182</v>
      </c>
      <c r="D192" s="5" t="s">
        <v>389</v>
      </c>
      <c r="E192" s="13" t="s">
        <v>390</v>
      </c>
      <c r="F192" s="34">
        <v>6</v>
      </c>
      <c r="G192" s="34">
        <v>34</v>
      </c>
      <c r="H192" s="34">
        <v>3</v>
      </c>
      <c r="I192" s="29">
        <f t="shared" si="8"/>
        <v>43</v>
      </c>
      <c r="J192" s="33">
        <f t="shared" si="6"/>
        <v>17.2</v>
      </c>
    </row>
    <row r="193" ht="14.25" customHeight="1" spans="3:10">
      <c r="C193" s="25">
        <v>183</v>
      </c>
      <c r="D193" s="5" t="s">
        <v>391</v>
      </c>
      <c r="E193" s="13" t="s">
        <v>392</v>
      </c>
      <c r="F193" s="34">
        <v>5</v>
      </c>
      <c r="G193" s="34">
        <v>33</v>
      </c>
      <c r="H193" s="34">
        <v>5</v>
      </c>
      <c r="I193" s="29">
        <f t="shared" si="8"/>
        <v>43</v>
      </c>
      <c r="J193" s="33">
        <f t="shared" si="6"/>
        <v>17.2</v>
      </c>
    </row>
    <row r="194" ht="14.25" customHeight="1" spans="3:10">
      <c r="C194" s="25">
        <v>184</v>
      </c>
      <c r="D194" s="5" t="s">
        <v>393</v>
      </c>
      <c r="E194" s="13" t="s">
        <v>394</v>
      </c>
      <c r="F194" s="34">
        <v>5</v>
      </c>
      <c r="G194" s="34">
        <v>32</v>
      </c>
      <c r="H194" s="34">
        <v>4</v>
      </c>
      <c r="I194" s="29">
        <f t="shared" si="8"/>
        <v>41</v>
      </c>
      <c r="J194" s="33">
        <f t="shared" si="6"/>
        <v>16.4</v>
      </c>
    </row>
    <row r="195" ht="14.25" customHeight="1" spans="3:10">
      <c r="C195" s="25">
        <v>185</v>
      </c>
      <c r="D195" s="5" t="s">
        <v>395</v>
      </c>
      <c r="E195" s="13" t="s">
        <v>396</v>
      </c>
      <c r="F195" s="34">
        <v>8</v>
      </c>
      <c r="G195" s="34">
        <v>35</v>
      </c>
      <c r="H195" s="34">
        <v>6</v>
      </c>
      <c r="I195" s="29">
        <f t="shared" si="8"/>
        <v>49</v>
      </c>
      <c r="J195" s="33">
        <f t="shared" si="6"/>
        <v>19.6</v>
      </c>
    </row>
    <row r="196" ht="14.25" customHeight="1" spans="3:10">
      <c r="C196" s="25">
        <v>186</v>
      </c>
      <c r="D196" s="5" t="s">
        <v>397</v>
      </c>
      <c r="E196" s="13" t="s">
        <v>398</v>
      </c>
      <c r="F196" s="34">
        <v>5</v>
      </c>
      <c r="G196" s="34">
        <v>30</v>
      </c>
      <c r="H196" s="34">
        <v>5</v>
      </c>
      <c r="I196" s="29">
        <f t="shared" si="8"/>
        <v>40</v>
      </c>
      <c r="J196" s="33">
        <f t="shared" si="6"/>
        <v>16</v>
      </c>
    </row>
    <row r="197" ht="14.25" customHeight="1" spans="3:10">
      <c r="C197" s="25">
        <v>187</v>
      </c>
      <c r="D197" s="5" t="s">
        <v>399</v>
      </c>
      <c r="E197" s="13" t="s">
        <v>400</v>
      </c>
      <c r="F197" s="34">
        <v>7</v>
      </c>
      <c r="G197" s="34">
        <v>33</v>
      </c>
      <c r="H197" s="34">
        <v>5</v>
      </c>
      <c r="I197" s="29">
        <f t="shared" si="8"/>
        <v>45</v>
      </c>
      <c r="J197" s="33">
        <f t="shared" si="6"/>
        <v>18</v>
      </c>
    </row>
    <row r="198" ht="14.25" customHeight="1" spans="3:10">
      <c r="C198" s="25">
        <v>188</v>
      </c>
      <c r="D198" s="5" t="s">
        <v>401</v>
      </c>
      <c r="E198" s="13" t="s">
        <v>402</v>
      </c>
      <c r="F198" s="34">
        <v>4</v>
      </c>
      <c r="G198" s="34">
        <v>30</v>
      </c>
      <c r="H198" s="34">
        <v>3</v>
      </c>
      <c r="I198" s="29">
        <f t="shared" si="8"/>
        <v>37</v>
      </c>
      <c r="J198" s="33">
        <f t="shared" si="6"/>
        <v>14.8</v>
      </c>
    </row>
    <row r="199" ht="14.25" customHeight="1" spans="3:10">
      <c r="C199" s="25">
        <v>189</v>
      </c>
      <c r="D199" s="5" t="s">
        <v>403</v>
      </c>
      <c r="E199" s="13" t="s">
        <v>404</v>
      </c>
      <c r="F199" s="34">
        <v>6</v>
      </c>
      <c r="G199" s="35">
        <v>32</v>
      </c>
      <c r="H199" s="34">
        <v>5</v>
      </c>
      <c r="I199" s="29">
        <f t="shared" si="8"/>
        <v>43</v>
      </c>
      <c r="J199" s="33">
        <f t="shared" si="6"/>
        <v>17.2</v>
      </c>
    </row>
    <row r="200" ht="14.25" customHeight="1" spans="3:10">
      <c r="C200" s="25">
        <v>190</v>
      </c>
      <c r="D200" s="4" t="s">
        <v>405</v>
      </c>
      <c r="E200" s="14" t="s">
        <v>406</v>
      </c>
      <c r="F200" s="29">
        <v>8</v>
      </c>
      <c r="G200" s="29">
        <v>32</v>
      </c>
      <c r="H200" s="29">
        <v>6</v>
      </c>
      <c r="I200" s="29">
        <f t="shared" si="8"/>
        <v>46</v>
      </c>
      <c r="J200" s="33">
        <f t="shared" si="6"/>
        <v>18.4</v>
      </c>
    </row>
    <row r="201" ht="14.25" customHeight="1" spans="3:10">
      <c r="C201" s="25">
        <v>191</v>
      </c>
      <c r="D201" s="4" t="s">
        <v>407</v>
      </c>
      <c r="E201" s="14" t="s">
        <v>408</v>
      </c>
      <c r="F201" s="29">
        <v>8</v>
      </c>
      <c r="G201" s="29">
        <v>33</v>
      </c>
      <c r="H201" s="29">
        <v>5</v>
      </c>
      <c r="I201" s="29">
        <f t="shared" si="8"/>
        <v>46</v>
      </c>
      <c r="J201" s="33">
        <f t="shared" si="6"/>
        <v>18.4</v>
      </c>
    </row>
    <row r="202" ht="14.25" customHeight="1" spans="3:10">
      <c r="C202" s="12">
        <v>192</v>
      </c>
      <c r="D202" s="4" t="s">
        <v>409</v>
      </c>
      <c r="E202" s="14" t="s">
        <v>410</v>
      </c>
      <c r="F202" s="34">
        <v>6</v>
      </c>
      <c r="G202" s="34">
        <v>33</v>
      </c>
      <c r="H202" s="34">
        <v>4</v>
      </c>
      <c r="I202" s="29">
        <f t="shared" si="8"/>
        <v>43</v>
      </c>
      <c r="J202" s="33">
        <f t="shared" si="6"/>
        <v>17.2</v>
      </c>
    </row>
    <row r="203" ht="14.25" customHeight="1" spans="3:10">
      <c r="C203" s="12">
        <v>193</v>
      </c>
      <c r="D203" s="4" t="s">
        <v>411</v>
      </c>
      <c r="E203" s="14" t="s">
        <v>412</v>
      </c>
      <c r="F203" s="34">
        <v>8</v>
      </c>
      <c r="G203" s="34">
        <v>32</v>
      </c>
      <c r="H203" s="34">
        <v>4</v>
      </c>
      <c r="I203" s="29">
        <f t="shared" si="8"/>
        <v>44</v>
      </c>
      <c r="J203" s="33">
        <f t="shared" si="6"/>
        <v>17.6</v>
      </c>
    </row>
    <row r="204" ht="14.25" customHeight="1" spans="3:10">
      <c r="C204" s="12">
        <v>194</v>
      </c>
      <c r="D204" s="4" t="s">
        <v>413</v>
      </c>
      <c r="E204" s="14" t="s">
        <v>414</v>
      </c>
      <c r="F204" s="34">
        <v>5</v>
      </c>
      <c r="G204" s="34">
        <v>30</v>
      </c>
      <c r="H204" s="34">
        <v>5</v>
      </c>
      <c r="I204" s="29">
        <f t="shared" si="8"/>
        <v>40</v>
      </c>
      <c r="J204" s="33">
        <f t="shared" ref="J204:J217" si="9">I204*0.4</f>
        <v>16</v>
      </c>
    </row>
    <row r="205" ht="14.25" customHeight="1" spans="3:10">
      <c r="C205" s="12">
        <v>195</v>
      </c>
      <c r="D205" s="4" t="s">
        <v>415</v>
      </c>
      <c r="E205" s="14" t="s">
        <v>416</v>
      </c>
      <c r="F205" s="34">
        <v>8</v>
      </c>
      <c r="G205" s="34">
        <v>32</v>
      </c>
      <c r="H205" s="34">
        <v>4</v>
      </c>
      <c r="I205" s="29">
        <f t="shared" si="8"/>
        <v>44</v>
      </c>
      <c r="J205" s="33">
        <f t="shared" si="9"/>
        <v>17.6</v>
      </c>
    </row>
    <row r="206" ht="14.25" customHeight="1" spans="3:10">
      <c r="C206" s="12">
        <v>196</v>
      </c>
      <c r="D206" s="4" t="s">
        <v>417</v>
      </c>
      <c r="E206" s="14" t="s">
        <v>418</v>
      </c>
      <c r="F206" s="34">
        <v>5</v>
      </c>
      <c r="G206" s="34">
        <v>32</v>
      </c>
      <c r="H206" s="34">
        <v>4</v>
      </c>
      <c r="I206" s="29">
        <f t="shared" si="8"/>
        <v>41</v>
      </c>
      <c r="J206" s="33">
        <f t="shared" si="9"/>
        <v>16.4</v>
      </c>
    </row>
    <row r="207" ht="14.25" customHeight="1" spans="3:10">
      <c r="C207" s="12">
        <v>197</v>
      </c>
      <c r="D207" s="4" t="s">
        <v>419</v>
      </c>
      <c r="E207" s="14" t="s">
        <v>420</v>
      </c>
      <c r="F207" s="34">
        <v>6</v>
      </c>
      <c r="G207" s="34">
        <v>35</v>
      </c>
      <c r="H207" s="34">
        <v>7</v>
      </c>
      <c r="I207" s="29">
        <f t="shared" si="8"/>
        <v>48</v>
      </c>
      <c r="J207" s="33">
        <f t="shared" si="9"/>
        <v>19.2</v>
      </c>
    </row>
    <row r="208" ht="14.25" customHeight="1" spans="3:10">
      <c r="C208" s="12">
        <v>198</v>
      </c>
      <c r="D208" s="4" t="s">
        <v>421</v>
      </c>
      <c r="E208" s="14" t="s">
        <v>422</v>
      </c>
      <c r="F208" s="34">
        <v>5</v>
      </c>
      <c r="G208" s="34">
        <v>32</v>
      </c>
      <c r="H208" s="34">
        <v>6</v>
      </c>
      <c r="I208" s="29">
        <f t="shared" si="8"/>
        <v>43</v>
      </c>
      <c r="J208" s="33">
        <f t="shared" si="9"/>
        <v>17.2</v>
      </c>
    </row>
    <row r="209" ht="14.25" customHeight="1" spans="3:10">
      <c r="C209" s="12">
        <v>199</v>
      </c>
      <c r="D209" s="4" t="s">
        <v>423</v>
      </c>
      <c r="E209" s="14" t="s">
        <v>424</v>
      </c>
      <c r="F209" s="34">
        <v>6</v>
      </c>
      <c r="G209" s="34">
        <v>33</v>
      </c>
      <c r="H209" s="34">
        <v>5</v>
      </c>
      <c r="I209" s="29">
        <f t="shared" si="8"/>
        <v>44</v>
      </c>
      <c r="J209" s="33">
        <f t="shared" si="9"/>
        <v>17.6</v>
      </c>
    </row>
    <row r="210" ht="14.25" customHeight="1" spans="3:10">
      <c r="C210" s="12">
        <v>200</v>
      </c>
      <c r="D210" s="4" t="s">
        <v>425</v>
      </c>
      <c r="E210" s="14" t="s">
        <v>426</v>
      </c>
      <c r="F210" s="34">
        <v>7</v>
      </c>
      <c r="G210" s="34">
        <v>33</v>
      </c>
      <c r="H210" s="34">
        <v>6</v>
      </c>
      <c r="I210" s="29">
        <f t="shared" si="8"/>
        <v>46</v>
      </c>
      <c r="J210" s="33">
        <f t="shared" si="9"/>
        <v>18.4</v>
      </c>
    </row>
    <row r="211" ht="14.25" customHeight="1" spans="3:10">
      <c r="C211" s="12">
        <v>201</v>
      </c>
      <c r="D211" s="4" t="s">
        <v>427</v>
      </c>
      <c r="E211" s="14" t="s">
        <v>428</v>
      </c>
      <c r="F211" s="34">
        <v>6</v>
      </c>
      <c r="G211" s="34">
        <v>34</v>
      </c>
      <c r="H211" s="34">
        <v>5</v>
      </c>
      <c r="I211" s="29">
        <f t="shared" si="8"/>
        <v>45</v>
      </c>
      <c r="J211" s="33">
        <f t="shared" si="9"/>
        <v>18</v>
      </c>
    </row>
    <row r="212" ht="14.25" customHeight="1" spans="3:10">
      <c r="C212" s="12">
        <v>202</v>
      </c>
      <c r="D212" s="4" t="s">
        <v>429</v>
      </c>
      <c r="E212" s="14" t="s">
        <v>430</v>
      </c>
      <c r="F212" s="34">
        <v>5</v>
      </c>
      <c r="G212" s="34">
        <v>32</v>
      </c>
      <c r="H212" s="34">
        <v>4</v>
      </c>
      <c r="I212" s="29">
        <f t="shared" si="8"/>
        <v>41</v>
      </c>
      <c r="J212" s="33">
        <f t="shared" si="9"/>
        <v>16.4</v>
      </c>
    </row>
    <row r="213" ht="14.25" customHeight="1" spans="3:10">
      <c r="C213" s="12">
        <v>203</v>
      </c>
      <c r="D213" s="4" t="s">
        <v>431</v>
      </c>
      <c r="E213" s="14" t="s">
        <v>432</v>
      </c>
      <c r="F213" s="34">
        <v>6</v>
      </c>
      <c r="G213" s="34">
        <v>32</v>
      </c>
      <c r="H213" s="34">
        <v>5</v>
      </c>
      <c r="I213" s="29">
        <f t="shared" si="8"/>
        <v>43</v>
      </c>
      <c r="J213" s="33">
        <f t="shared" si="9"/>
        <v>17.2</v>
      </c>
    </row>
    <row r="214" ht="14.25" customHeight="1" spans="3:10">
      <c r="C214" s="12">
        <v>204</v>
      </c>
      <c r="D214" s="4" t="s">
        <v>433</v>
      </c>
      <c r="E214" s="14" t="s">
        <v>434</v>
      </c>
      <c r="F214" s="34">
        <v>4</v>
      </c>
      <c r="G214" s="34">
        <v>33</v>
      </c>
      <c r="H214" s="34">
        <v>5</v>
      </c>
      <c r="I214" s="29">
        <f t="shared" si="8"/>
        <v>42</v>
      </c>
      <c r="J214" s="33">
        <f t="shared" si="9"/>
        <v>16.8</v>
      </c>
    </row>
    <row r="215" ht="14.25" customHeight="1" spans="3:10">
      <c r="C215" s="12">
        <v>205</v>
      </c>
      <c r="D215" s="4" t="s">
        <v>435</v>
      </c>
      <c r="E215" s="14" t="s">
        <v>436</v>
      </c>
      <c r="F215" s="34">
        <v>6</v>
      </c>
      <c r="G215" s="34">
        <v>32</v>
      </c>
      <c r="H215" s="34">
        <v>5</v>
      </c>
      <c r="I215" s="29">
        <f t="shared" si="8"/>
        <v>43</v>
      </c>
      <c r="J215" s="33">
        <f t="shared" si="9"/>
        <v>17.2</v>
      </c>
    </row>
    <row r="216" ht="14.25" customHeight="1" spans="3:10">
      <c r="C216" s="12">
        <v>206</v>
      </c>
      <c r="D216" s="4" t="s">
        <v>437</v>
      </c>
      <c r="E216" s="14" t="s">
        <v>438</v>
      </c>
      <c r="F216" s="34">
        <v>5</v>
      </c>
      <c r="G216" s="34">
        <v>32</v>
      </c>
      <c r="H216" s="34">
        <v>5</v>
      </c>
      <c r="I216" s="29">
        <f t="shared" si="8"/>
        <v>42</v>
      </c>
      <c r="J216" s="33">
        <f t="shared" si="9"/>
        <v>16.8</v>
      </c>
    </row>
    <row r="217" ht="14.25" customHeight="1" spans="3:10">
      <c r="C217" s="12">
        <v>207</v>
      </c>
      <c r="D217" s="4" t="s">
        <v>439</v>
      </c>
      <c r="E217" s="14" t="s">
        <v>440</v>
      </c>
      <c r="F217" s="34">
        <v>4</v>
      </c>
      <c r="G217" s="34">
        <v>30</v>
      </c>
      <c r="H217" s="34">
        <v>3</v>
      </c>
      <c r="I217" s="29">
        <f t="shared" si="8"/>
        <v>37</v>
      </c>
      <c r="J217" s="33">
        <f t="shared" si="9"/>
        <v>14.8</v>
      </c>
    </row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</sheetData>
  <mergeCells count="3">
    <mergeCell ref="C6:J6"/>
    <mergeCell ref="C7:J7"/>
    <mergeCell ref="D8:E8"/>
  </mergeCells>
  <pageMargins left="0.7" right="0.7" top="0.75" bottom="0.75" header="0" footer="0"/>
  <pageSetup paperSize="1" orientation="portrait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Z994"/>
  <sheetViews>
    <sheetView tabSelected="1" zoomScale="96" zoomScaleNormal="96" workbookViewId="0">
      <pane xSplit="10" ySplit="23" topLeftCell="K202" activePane="bottomRight" state="frozen"/>
      <selection/>
      <selection pane="topRight"/>
      <selection pane="bottomLeft"/>
      <selection pane="bottomRight" activeCell="F206" sqref="F206:G207"/>
    </sheetView>
  </sheetViews>
  <sheetFormatPr defaultColWidth="14.4285714285714" defaultRowHeight="15" customHeight="1"/>
  <cols>
    <col min="1" max="2" width="8.71428571428571" customWidth="1"/>
    <col min="3" max="3" width="6.28571428571429" customWidth="1"/>
    <col min="4" max="4" width="16" customWidth="1"/>
    <col min="5" max="5" width="29" customWidth="1"/>
    <col min="6" max="8" width="16.7142857142857" customWidth="1"/>
    <col min="9" max="18" width="8.71428571428571" customWidth="1"/>
    <col min="19" max="20" width="9.57142857142857" customWidth="1"/>
    <col min="21" max="26" width="8.71428571428571" customWidth="1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 spans="3:16">
      <c r="C6" s="17" t="s">
        <v>450</v>
      </c>
      <c r="D6" s="17"/>
      <c r="E6" s="17"/>
      <c r="F6" s="17"/>
      <c r="G6" s="17"/>
      <c r="H6" s="17"/>
      <c r="I6" s="18"/>
      <c r="J6" s="18"/>
      <c r="K6" s="18"/>
      <c r="L6" s="18"/>
      <c r="M6" s="18"/>
      <c r="N6" s="18"/>
      <c r="O6" s="18"/>
      <c r="P6" s="18"/>
    </row>
    <row r="7" ht="14.25" customHeight="1" spans="3:16">
      <c r="C7" s="17" t="s">
        <v>471</v>
      </c>
      <c r="D7" s="17"/>
      <c r="E7" s="17"/>
      <c r="F7" s="17"/>
      <c r="G7" s="17"/>
      <c r="H7" s="17"/>
      <c r="I7" s="18"/>
      <c r="J7" s="18"/>
      <c r="K7" s="18"/>
      <c r="L7" s="18"/>
      <c r="M7" s="18"/>
      <c r="N7" s="18"/>
      <c r="O7" s="18"/>
      <c r="P7" s="18"/>
    </row>
    <row r="8" ht="14.25" customHeight="1" spans="1:26">
      <c r="A8" s="19"/>
      <c r="B8" s="19"/>
      <c r="C8" s="19"/>
      <c r="D8" s="20" t="s">
        <v>472</v>
      </c>
      <c r="F8" s="19"/>
      <c r="G8" s="19"/>
      <c r="H8" s="18" t="s">
        <v>453</v>
      </c>
      <c r="I8" s="21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</row>
    <row r="9" ht="14.25" customHeight="1" spans="1:26">
      <c r="A9" s="19"/>
      <c r="B9" s="19"/>
      <c r="C9" s="19"/>
      <c r="D9" s="22" t="s">
        <v>473</v>
      </c>
      <c r="E9" s="23"/>
      <c r="F9" s="19"/>
      <c r="G9" s="19"/>
      <c r="H9" s="19"/>
      <c r="I9" s="21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</row>
    <row r="10" ht="14.25" customHeight="1" spans="1:26">
      <c r="A10" s="24"/>
      <c r="B10" s="24"/>
      <c r="C10" s="12" t="s">
        <v>443</v>
      </c>
      <c r="D10" s="12" t="s">
        <v>6</v>
      </c>
      <c r="E10" s="28" t="s">
        <v>7</v>
      </c>
      <c r="F10" s="12" t="s">
        <v>474</v>
      </c>
      <c r="G10" s="12" t="s">
        <v>475</v>
      </c>
      <c r="H10" s="12" t="s">
        <v>469</v>
      </c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</row>
    <row r="11" ht="14.25" customHeight="1" spans="3:20">
      <c r="C11" s="25">
        <v>1</v>
      </c>
      <c r="D11" s="5" t="s">
        <v>26</v>
      </c>
      <c r="E11" s="13" t="s">
        <v>27</v>
      </c>
      <c r="F11" s="26">
        <f>Lab_CIE!P11</f>
        <v>29.1</v>
      </c>
      <c r="G11" s="26">
        <f>Lab_CIA!J11</f>
        <v>17.6</v>
      </c>
      <c r="H11" s="26">
        <f>F11+G11</f>
        <v>46.7</v>
      </c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</row>
    <row r="12" ht="14.25" customHeight="1" spans="3:20">
      <c r="C12" s="25">
        <v>2</v>
      </c>
      <c r="D12" s="5" t="s">
        <v>28</v>
      </c>
      <c r="E12" s="13" t="s">
        <v>29</v>
      </c>
      <c r="F12" s="26">
        <f>Lab_CIE!P12</f>
        <v>29.1</v>
      </c>
      <c r="G12" s="26">
        <f>Lab_CIA!J12</f>
        <v>19.2</v>
      </c>
      <c r="H12" s="26">
        <f t="shared" ref="H12:H75" si="0">F12+G12</f>
        <v>48.3</v>
      </c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</row>
    <row r="13" ht="14.25" customHeight="1" spans="3:20">
      <c r="C13" s="25">
        <v>3</v>
      </c>
      <c r="D13" s="5" t="s">
        <v>30</v>
      </c>
      <c r="E13" s="13" t="s">
        <v>31</v>
      </c>
      <c r="F13" s="26">
        <f>Lab_CIE!P13</f>
        <v>29.1</v>
      </c>
      <c r="G13" s="26">
        <f>Lab_CIA!J13</f>
        <v>19.2</v>
      </c>
      <c r="H13" s="26">
        <f t="shared" si="0"/>
        <v>48.3</v>
      </c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</row>
    <row r="14" ht="14.25" customHeight="1" spans="3:20">
      <c r="C14" s="25">
        <v>4</v>
      </c>
      <c r="D14" s="5" t="s">
        <v>32</v>
      </c>
      <c r="E14" s="13" t="s">
        <v>33</v>
      </c>
      <c r="F14" s="26">
        <f>Lab_CIE!P14</f>
        <v>28.9</v>
      </c>
      <c r="G14" s="26">
        <f>Lab_CIA!J14</f>
        <v>20</v>
      </c>
      <c r="H14" s="26">
        <f t="shared" si="0"/>
        <v>48.9</v>
      </c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</row>
    <row r="15" ht="14.25" customHeight="1" spans="3:20">
      <c r="C15" s="25">
        <v>5</v>
      </c>
      <c r="D15" s="5" t="s">
        <v>34</v>
      </c>
      <c r="E15" s="13" t="s">
        <v>35</v>
      </c>
      <c r="F15" s="26">
        <f>Lab_CIE!P15</f>
        <v>29</v>
      </c>
      <c r="G15" s="26">
        <f>Lab_CIA!J15</f>
        <v>17.6</v>
      </c>
      <c r="H15" s="26">
        <f t="shared" si="0"/>
        <v>46.6</v>
      </c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</row>
    <row r="16" ht="14.25" customHeight="1" spans="3:20">
      <c r="C16" s="25">
        <v>6</v>
      </c>
      <c r="D16" s="5" t="s">
        <v>36</v>
      </c>
      <c r="E16" s="13" t="s">
        <v>37</v>
      </c>
      <c r="F16" s="26">
        <f>Lab_CIE!P16</f>
        <v>28.2</v>
      </c>
      <c r="G16" s="26">
        <f>Lab_CIA!J16</f>
        <v>19.2</v>
      </c>
      <c r="H16" s="26">
        <f t="shared" si="0"/>
        <v>47.4</v>
      </c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</row>
    <row r="17" ht="14.25" customHeight="1" spans="3:20">
      <c r="C17" s="25">
        <v>7</v>
      </c>
      <c r="D17" s="5" t="s">
        <v>38</v>
      </c>
      <c r="E17" s="13" t="s">
        <v>39</v>
      </c>
      <c r="F17" s="26">
        <f>Lab_CIE!P17</f>
        <v>28.9</v>
      </c>
      <c r="G17" s="26">
        <f>Lab_CIA!J17</f>
        <v>18.4</v>
      </c>
      <c r="H17" s="26">
        <f t="shared" si="0"/>
        <v>47.3</v>
      </c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</row>
    <row r="18" ht="14.25" customHeight="1" spans="3:20">
      <c r="C18" s="25">
        <v>8</v>
      </c>
      <c r="D18" s="5" t="s">
        <v>40</v>
      </c>
      <c r="E18" s="13" t="s">
        <v>41</v>
      </c>
      <c r="F18" s="26">
        <f>Lab_CIE!P18</f>
        <v>28.9</v>
      </c>
      <c r="G18" s="26">
        <f>Lab_CIA!J18</f>
        <v>19.2</v>
      </c>
      <c r="H18" s="26">
        <f t="shared" si="0"/>
        <v>48.1</v>
      </c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</row>
    <row r="19" ht="14.25" customHeight="1" spans="3:20">
      <c r="C19" s="25">
        <v>9</v>
      </c>
      <c r="D19" s="5" t="s">
        <v>42</v>
      </c>
      <c r="E19" s="13" t="s">
        <v>43</v>
      </c>
      <c r="F19" s="26">
        <f>Lab_CIE!P19</f>
        <v>28.9</v>
      </c>
      <c r="G19" s="26">
        <f>Lab_CIA!J19</f>
        <v>18</v>
      </c>
      <c r="H19" s="26">
        <f t="shared" si="0"/>
        <v>46.9</v>
      </c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</row>
    <row r="20" ht="14.25" customHeight="1" spans="3:20">
      <c r="C20" s="25">
        <v>10</v>
      </c>
      <c r="D20" s="5" t="s">
        <v>44</v>
      </c>
      <c r="E20" s="13" t="s">
        <v>45</v>
      </c>
      <c r="F20" s="26">
        <f>Lab_CIE!P20</f>
        <v>28.8</v>
      </c>
      <c r="G20" s="26">
        <f>Lab_CIA!J20</f>
        <v>19.2</v>
      </c>
      <c r="H20" s="26">
        <f t="shared" si="0"/>
        <v>48</v>
      </c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</row>
    <row r="21" ht="14.25" customHeight="1" spans="3:20">
      <c r="C21" s="25">
        <v>11</v>
      </c>
      <c r="D21" s="5" t="s">
        <v>46</v>
      </c>
      <c r="E21" s="13" t="s">
        <v>47</v>
      </c>
      <c r="F21" s="26">
        <f>Lab_CIE!P21</f>
        <v>28.7</v>
      </c>
      <c r="G21" s="26">
        <f>Lab_CIA!J21</f>
        <v>18.4</v>
      </c>
      <c r="H21" s="26">
        <f t="shared" si="0"/>
        <v>47.1</v>
      </c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</row>
    <row r="22" ht="14.25" customHeight="1" spans="3:20">
      <c r="C22" s="25">
        <v>12</v>
      </c>
      <c r="D22" s="5" t="s">
        <v>48</v>
      </c>
      <c r="E22" s="13" t="s">
        <v>49</v>
      </c>
      <c r="F22" s="26">
        <f>Lab_CIE!P22</f>
        <v>28.7</v>
      </c>
      <c r="G22" s="26">
        <f>Lab_CIA!J22</f>
        <v>16.8</v>
      </c>
      <c r="H22" s="26">
        <f t="shared" si="0"/>
        <v>45.5</v>
      </c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</row>
    <row r="23" ht="14.25" customHeight="1" spans="3:20">
      <c r="C23" s="25">
        <v>13</v>
      </c>
      <c r="D23" s="5" t="s">
        <v>50</v>
      </c>
      <c r="E23" s="13" t="s">
        <v>51</v>
      </c>
      <c r="F23" s="26">
        <f>Lab_CIE!P23</f>
        <v>28.9</v>
      </c>
      <c r="G23" s="26">
        <f>Lab_CIA!J23</f>
        <v>19.2</v>
      </c>
      <c r="H23" s="26">
        <f t="shared" si="0"/>
        <v>48.1</v>
      </c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</row>
    <row r="24" ht="14.25" customHeight="1" spans="3:20">
      <c r="C24" s="25">
        <v>14</v>
      </c>
      <c r="D24" s="5" t="s">
        <v>52</v>
      </c>
      <c r="E24" s="13" t="s">
        <v>53</v>
      </c>
      <c r="F24" s="26">
        <f>Lab_CIE!P24</f>
        <v>29</v>
      </c>
      <c r="G24" s="26">
        <f>Lab_CIA!J24</f>
        <v>18.4</v>
      </c>
      <c r="H24" s="26">
        <f t="shared" si="0"/>
        <v>47.4</v>
      </c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</row>
    <row r="25" ht="14.25" customHeight="1" spans="3:20">
      <c r="C25" s="25">
        <v>15</v>
      </c>
      <c r="D25" s="5" t="s">
        <v>54</v>
      </c>
      <c r="E25" s="13" t="s">
        <v>55</v>
      </c>
      <c r="F25" s="26">
        <f>Lab_CIE!P25</f>
        <v>29.3</v>
      </c>
      <c r="G25" s="26">
        <f>Lab_CIA!J25</f>
        <v>19.2</v>
      </c>
      <c r="H25" s="26">
        <f t="shared" si="0"/>
        <v>48.5</v>
      </c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</row>
    <row r="26" ht="14.25" customHeight="1" spans="3:20">
      <c r="C26" s="25">
        <v>16</v>
      </c>
      <c r="D26" s="5" t="s">
        <v>56</v>
      </c>
      <c r="E26" s="13" t="s">
        <v>57</v>
      </c>
      <c r="F26" s="26">
        <f>Lab_CIE!P26</f>
        <v>29.6</v>
      </c>
      <c r="G26" s="26">
        <f>Lab_CIA!J26</f>
        <v>18.4</v>
      </c>
      <c r="H26" s="26">
        <f t="shared" si="0"/>
        <v>48</v>
      </c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</row>
    <row r="27" ht="14.25" customHeight="1" spans="3:20">
      <c r="C27" s="25">
        <v>17</v>
      </c>
      <c r="D27" s="5" t="s">
        <v>58</v>
      </c>
      <c r="E27" s="13" t="s">
        <v>59</v>
      </c>
      <c r="F27" s="26">
        <f>Lab_CIE!P27</f>
        <v>29.5</v>
      </c>
      <c r="G27" s="26">
        <f>Lab_CIA!J27</f>
        <v>19.2</v>
      </c>
      <c r="H27" s="26">
        <f t="shared" si="0"/>
        <v>48.7</v>
      </c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</row>
    <row r="28" ht="14.25" customHeight="1" spans="3:20">
      <c r="C28" s="25">
        <v>18</v>
      </c>
      <c r="D28" s="5" t="s">
        <v>60</v>
      </c>
      <c r="E28" s="13" t="s">
        <v>61</v>
      </c>
      <c r="F28" s="26">
        <f>Lab_CIE!P28</f>
        <v>29.2</v>
      </c>
      <c r="G28" s="26">
        <f>Lab_CIA!J28</f>
        <v>18.4</v>
      </c>
      <c r="H28" s="26">
        <f t="shared" si="0"/>
        <v>47.6</v>
      </c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</row>
    <row r="29" ht="14.25" customHeight="1" spans="3:20">
      <c r="C29" s="25">
        <v>19</v>
      </c>
      <c r="D29" s="5" t="s">
        <v>62</v>
      </c>
      <c r="E29" s="13" t="s">
        <v>63</v>
      </c>
      <c r="F29" s="26">
        <f>Lab_CIE!P29</f>
        <v>29.1</v>
      </c>
      <c r="G29" s="26">
        <f>Lab_CIA!J29</f>
        <v>19.2</v>
      </c>
      <c r="H29" s="26">
        <f t="shared" si="0"/>
        <v>48.3</v>
      </c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</row>
    <row r="30" ht="14.25" customHeight="1" spans="3:20">
      <c r="C30" s="25">
        <v>20</v>
      </c>
      <c r="D30" s="5" t="s">
        <v>64</v>
      </c>
      <c r="E30" s="13" t="s">
        <v>65</v>
      </c>
      <c r="F30" s="26">
        <f>Lab_CIE!P30</f>
        <v>29.1</v>
      </c>
      <c r="G30" s="26">
        <f>Lab_CIA!J30</f>
        <v>17.6</v>
      </c>
      <c r="H30" s="26">
        <f t="shared" si="0"/>
        <v>46.7</v>
      </c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</row>
    <row r="31" spans="3:20">
      <c r="C31" s="25">
        <v>21</v>
      </c>
      <c r="D31" s="5" t="s">
        <v>66</v>
      </c>
      <c r="E31" s="13" t="s">
        <v>67</v>
      </c>
      <c r="F31" s="26">
        <f>Lab_CIE!P31</f>
        <v>29.1</v>
      </c>
      <c r="G31" s="26">
        <f>Lab_CIA!J31</f>
        <v>19.2</v>
      </c>
      <c r="H31" s="26">
        <f t="shared" si="0"/>
        <v>48.3</v>
      </c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</row>
    <row r="32" ht="14.25" customHeight="1" spans="3:20">
      <c r="C32" s="25">
        <v>22</v>
      </c>
      <c r="D32" s="5" t="s">
        <v>68</v>
      </c>
      <c r="E32" s="13" t="s">
        <v>69</v>
      </c>
      <c r="F32" s="26">
        <f>Lab_CIE!P32</f>
        <v>29.1</v>
      </c>
      <c r="G32" s="26">
        <f>Lab_CIA!J32</f>
        <v>18.4</v>
      </c>
      <c r="H32" s="26">
        <f t="shared" si="0"/>
        <v>47.5</v>
      </c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</row>
    <row r="33" ht="14.25" customHeight="1" spans="3:20">
      <c r="C33" s="25">
        <v>23</v>
      </c>
      <c r="D33" s="5" t="s">
        <v>70</v>
      </c>
      <c r="E33" s="13" t="s">
        <v>71</v>
      </c>
      <c r="F33" s="26">
        <f>Lab_CIE!P33</f>
        <v>28.7</v>
      </c>
      <c r="G33" s="26">
        <f>Lab_CIA!J33</f>
        <v>16.8</v>
      </c>
      <c r="H33" s="26">
        <f t="shared" si="0"/>
        <v>45.5</v>
      </c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</row>
    <row r="34" ht="14.25" customHeight="1" spans="3:20">
      <c r="C34" s="25">
        <v>24</v>
      </c>
      <c r="D34" s="5" t="s">
        <v>72</v>
      </c>
      <c r="E34" s="13" t="s">
        <v>73</v>
      </c>
      <c r="F34" s="26">
        <f>Lab_CIE!P34</f>
        <v>28.7</v>
      </c>
      <c r="G34" s="26">
        <f>Lab_CIA!J34</f>
        <v>17.6</v>
      </c>
      <c r="H34" s="26">
        <f t="shared" si="0"/>
        <v>46.3</v>
      </c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</row>
    <row r="35" ht="14.25" customHeight="1" spans="3:20">
      <c r="C35" s="25">
        <v>25</v>
      </c>
      <c r="D35" s="5" t="s">
        <v>74</v>
      </c>
      <c r="E35" s="13" t="s">
        <v>75</v>
      </c>
      <c r="F35" s="26">
        <f>Lab_CIE!P35</f>
        <v>29.5</v>
      </c>
      <c r="G35" s="26">
        <f>Lab_CIA!J35</f>
        <v>19.2</v>
      </c>
      <c r="H35" s="26">
        <f t="shared" si="0"/>
        <v>48.7</v>
      </c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</row>
    <row r="36" ht="14.25" customHeight="1" spans="3:20">
      <c r="C36" s="25">
        <v>26</v>
      </c>
      <c r="D36" s="5" t="s">
        <v>76</v>
      </c>
      <c r="E36" s="13" t="s">
        <v>77</v>
      </c>
      <c r="F36" s="26">
        <f>Lab_CIE!P36</f>
        <v>29.3</v>
      </c>
      <c r="G36" s="26">
        <f>Lab_CIA!J36</f>
        <v>18.4</v>
      </c>
      <c r="H36" s="26">
        <f t="shared" si="0"/>
        <v>47.7</v>
      </c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</row>
    <row r="37" ht="14.25" customHeight="1" spans="3:20">
      <c r="C37" s="25">
        <v>27</v>
      </c>
      <c r="D37" s="5" t="s">
        <v>78</v>
      </c>
      <c r="E37" s="13" t="s">
        <v>79</v>
      </c>
      <c r="F37" s="26">
        <f>Lab_CIE!P37</f>
        <v>29.1</v>
      </c>
      <c r="G37" s="26">
        <f>Lab_CIA!J37</f>
        <v>17.6</v>
      </c>
      <c r="H37" s="26">
        <f t="shared" si="0"/>
        <v>46.7</v>
      </c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</row>
    <row r="38" ht="14.25" customHeight="1" spans="3:20">
      <c r="C38" s="25">
        <v>28</v>
      </c>
      <c r="D38" s="5" t="s">
        <v>80</v>
      </c>
      <c r="E38" s="13" t="s">
        <v>81</v>
      </c>
      <c r="F38" s="26">
        <f>Lab_CIE!P38</f>
        <v>28.9</v>
      </c>
      <c r="G38" s="26">
        <f>Lab_CIA!J38</f>
        <v>19.2</v>
      </c>
      <c r="H38" s="26">
        <f t="shared" si="0"/>
        <v>48.1</v>
      </c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</row>
    <row r="39" ht="14.25" customHeight="1" spans="3:20">
      <c r="C39" s="25">
        <v>29</v>
      </c>
      <c r="D39" s="5" t="s">
        <v>82</v>
      </c>
      <c r="E39" s="13" t="s">
        <v>83</v>
      </c>
      <c r="F39" s="26">
        <f>Lab_CIE!P39</f>
        <v>29.1</v>
      </c>
      <c r="G39" s="26">
        <f>Lab_CIA!J39</f>
        <v>20</v>
      </c>
      <c r="H39" s="26">
        <f t="shared" si="0"/>
        <v>49.1</v>
      </c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</row>
    <row r="40" ht="14.25" customHeight="1" spans="3:20">
      <c r="C40" s="25">
        <v>30</v>
      </c>
      <c r="D40" s="5" t="s">
        <v>84</v>
      </c>
      <c r="E40" s="13" t="s">
        <v>85</v>
      </c>
      <c r="F40" s="26">
        <f>Lab_CIE!P40</f>
        <v>29</v>
      </c>
      <c r="G40" s="26">
        <f>Lab_CIA!J40</f>
        <v>19.2</v>
      </c>
      <c r="H40" s="26">
        <f t="shared" si="0"/>
        <v>48.2</v>
      </c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</row>
    <row r="41" ht="14.25" customHeight="1" spans="3:20">
      <c r="C41" s="25">
        <v>31</v>
      </c>
      <c r="D41" s="5" t="s">
        <v>86</v>
      </c>
      <c r="E41" s="13" t="s">
        <v>87</v>
      </c>
      <c r="F41" s="26">
        <f>Lab_CIE!P41</f>
        <v>29.1</v>
      </c>
      <c r="G41" s="26">
        <f>Lab_CIA!J41</f>
        <v>17.6</v>
      </c>
      <c r="H41" s="26">
        <f t="shared" si="0"/>
        <v>46.7</v>
      </c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</row>
    <row r="42" ht="14.25" customHeight="1" spans="3:20">
      <c r="C42" s="25">
        <v>32</v>
      </c>
      <c r="D42" s="5" t="s">
        <v>88</v>
      </c>
      <c r="E42" s="13" t="s">
        <v>89</v>
      </c>
      <c r="F42" s="26">
        <f>Lab_CIE!P42</f>
        <v>29.2</v>
      </c>
      <c r="G42" s="26">
        <f>Lab_CIA!J42</f>
        <v>19.2</v>
      </c>
      <c r="H42" s="26">
        <f t="shared" si="0"/>
        <v>48.4</v>
      </c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</row>
    <row r="43" ht="14.25" customHeight="1" spans="3:20">
      <c r="C43" s="25">
        <v>33</v>
      </c>
      <c r="D43" s="5" t="s">
        <v>90</v>
      </c>
      <c r="E43" s="13" t="s">
        <v>91</v>
      </c>
      <c r="F43" s="26">
        <f>Lab_CIE!P43</f>
        <v>29.1</v>
      </c>
      <c r="G43" s="26">
        <f>Lab_CIA!J43</f>
        <v>16.8</v>
      </c>
      <c r="H43" s="26">
        <f t="shared" si="0"/>
        <v>45.9</v>
      </c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</row>
    <row r="44" ht="14.25" customHeight="1" spans="3:20">
      <c r="C44" s="25">
        <v>34</v>
      </c>
      <c r="D44" s="5" t="s">
        <v>92</v>
      </c>
      <c r="E44" s="13" t="s">
        <v>93</v>
      </c>
      <c r="F44" s="26">
        <f>Lab_CIE!P44</f>
        <v>29.3</v>
      </c>
      <c r="G44" s="26">
        <f>Lab_CIA!J44</f>
        <v>19.2</v>
      </c>
      <c r="H44" s="26">
        <f t="shared" si="0"/>
        <v>48.5</v>
      </c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</row>
    <row r="45" ht="14.25" customHeight="1" spans="3:20">
      <c r="C45" s="25">
        <v>35</v>
      </c>
      <c r="D45" s="5" t="s">
        <v>94</v>
      </c>
      <c r="E45" s="13" t="s">
        <v>95</v>
      </c>
      <c r="F45" s="26">
        <f>Lab_CIE!P45</f>
        <v>29</v>
      </c>
      <c r="G45" s="26">
        <f>Lab_CIA!J45</f>
        <v>17.6</v>
      </c>
      <c r="H45" s="26">
        <f t="shared" si="0"/>
        <v>46.6</v>
      </c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</row>
    <row r="46" ht="14.25" customHeight="1" spans="3:20">
      <c r="C46" s="25">
        <v>36</v>
      </c>
      <c r="D46" s="5" t="s">
        <v>96</v>
      </c>
      <c r="E46" s="13" t="s">
        <v>97</v>
      </c>
      <c r="F46" s="26">
        <f>Lab_CIE!P46</f>
        <v>28.4</v>
      </c>
      <c r="G46" s="26">
        <f>Lab_CIA!J46</f>
        <v>18.4</v>
      </c>
      <c r="H46" s="26">
        <f t="shared" si="0"/>
        <v>46.8</v>
      </c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</row>
    <row r="47" ht="14.25" customHeight="1" spans="3:20">
      <c r="C47" s="25">
        <v>37</v>
      </c>
      <c r="D47" s="5" t="s">
        <v>98</v>
      </c>
      <c r="E47" s="13" t="s">
        <v>99</v>
      </c>
      <c r="F47" s="26">
        <f>Lab_CIE!P47</f>
        <v>28.8</v>
      </c>
      <c r="G47" s="26">
        <f>Lab_CIA!J47</f>
        <v>15.2</v>
      </c>
      <c r="H47" s="26">
        <f t="shared" si="0"/>
        <v>44</v>
      </c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</row>
    <row r="48" ht="14.25" customHeight="1" spans="3:20">
      <c r="C48" s="25">
        <v>38</v>
      </c>
      <c r="D48" s="5" t="s">
        <v>100</v>
      </c>
      <c r="E48" s="13" t="s">
        <v>101</v>
      </c>
      <c r="F48" s="26">
        <f>Lab_CIE!P48</f>
        <v>29.2</v>
      </c>
      <c r="G48" s="26">
        <f>Lab_CIA!J48</f>
        <v>19.2</v>
      </c>
      <c r="H48" s="26">
        <f t="shared" si="0"/>
        <v>48.4</v>
      </c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</row>
    <row r="49" ht="14.25" customHeight="1" spans="3:20">
      <c r="C49" s="25">
        <v>39</v>
      </c>
      <c r="D49" s="5" t="s">
        <v>102</v>
      </c>
      <c r="E49" s="13" t="s">
        <v>103</v>
      </c>
      <c r="F49" s="26">
        <f>Lab_CIE!P49</f>
        <v>29.4</v>
      </c>
      <c r="G49" s="26">
        <f>Lab_CIA!J49</f>
        <v>19.2</v>
      </c>
      <c r="H49" s="26">
        <f t="shared" si="0"/>
        <v>48.6</v>
      </c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</row>
    <row r="50" ht="14.25" customHeight="1" spans="3:20">
      <c r="C50" s="25">
        <v>40</v>
      </c>
      <c r="D50" s="5" t="s">
        <v>104</v>
      </c>
      <c r="E50" s="13" t="s">
        <v>105</v>
      </c>
      <c r="F50" s="26">
        <f>Lab_CIE!P50</f>
        <v>28.7</v>
      </c>
      <c r="G50" s="26">
        <f>Lab_CIA!J50</f>
        <v>19.2</v>
      </c>
      <c r="H50" s="26">
        <f t="shared" si="0"/>
        <v>47.9</v>
      </c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</row>
    <row r="51" ht="14.25" customHeight="1" spans="3:20">
      <c r="C51" s="25">
        <v>41</v>
      </c>
      <c r="D51" s="5" t="s">
        <v>106</v>
      </c>
      <c r="E51" s="13" t="s">
        <v>107</v>
      </c>
      <c r="F51" s="26">
        <f>Lab_CIE!P51</f>
        <v>28.8</v>
      </c>
      <c r="G51" s="26">
        <f>Lab_CIA!J51</f>
        <v>16.8</v>
      </c>
      <c r="H51" s="26">
        <f t="shared" si="0"/>
        <v>45.6</v>
      </c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</row>
    <row r="52" ht="14.25" customHeight="1" spans="3:20">
      <c r="C52" s="25">
        <v>42</v>
      </c>
      <c r="D52" s="5" t="s">
        <v>108</v>
      </c>
      <c r="E52" s="13" t="s">
        <v>109</v>
      </c>
      <c r="F52" s="26">
        <f>Lab_CIE!P52</f>
        <v>28.4</v>
      </c>
      <c r="G52" s="26">
        <f>Lab_CIA!J52</f>
        <v>17.6</v>
      </c>
      <c r="H52" s="26">
        <f t="shared" si="0"/>
        <v>46</v>
      </c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</row>
    <row r="53" ht="14.25" customHeight="1" spans="3:20">
      <c r="C53" s="25">
        <v>43</v>
      </c>
      <c r="D53" s="5" t="s">
        <v>110</v>
      </c>
      <c r="E53" s="13" t="s">
        <v>111</v>
      </c>
      <c r="F53" s="26">
        <f>Lab_CIE!P53</f>
        <v>29.6</v>
      </c>
      <c r="G53" s="26">
        <f>Lab_CIA!J53</f>
        <v>17.6</v>
      </c>
      <c r="H53" s="26">
        <f t="shared" si="0"/>
        <v>47.2</v>
      </c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</row>
    <row r="54" ht="14.25" customHeight="1" spans="3:20">
      <c r="C54" s="25">
        <v>44</v>
      </c>
      <c r="D54" s="5" t="s">
        <v>112</v>
      </c>
      <c r="E54" s="13" t="s">
        <v>113</v>
      </c>
      <c r="F54" s="26">
        <f>Lab_CIE!P54</f>
        <v>29.2</v>
      </c>
      <c r="G54" s="26">
        <f>Lab_CIA!J54</f>
        <v>17.2</v>
      </c>
      <c r="H54" s="26">
        <f t="shared" si="0"/>
        <v>46.4</v>
      </c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</row>
    <row r="55" ht="14.25" customHeight="1" spans="3:20">
      <c r="C55" s="25">
        <v>45</v>
      </c>
      <c r="D55" s="5" t="s">
        <v>114</v>
      </c>
      <c r="E55" s="13" t="s">
        <v>115</v>
      </c>
      <c r="F55" s="26">
        <f>Lab_CIE!P55</f>
        <v>27.3</v>
      </c>
      <c r="G55" s="26">
        <f>Lab_CIA!J55</f>
        <v>18.8</v>
      </c>
      <c r="H55" s="26">
        <f t="shared" si="0"/>
        <v>46.1</v>
      </c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</row>
    <row r="56" ht="30" spans="3:20">
      <c r="C56" s="25">
        <v>46</v>
      </c>
      <c r="D56" s="5" t="s">
        <v>116</v>
      </c>
      <c r="E56" s="13" t="s">
        <v>117</v>
      </c>
      <c r="F56" s="26">
        <f>Lab_CIE!P56</f>
        <v>28.6</v>
      </c>
      <c r="G56" s="26">
        <f>Lab_CIA!J56</f>
        <v>16</v>
      </c>
      <c r="H56" s="26">
        <f t="shared" si="0"/>
        <v>44.6</v>
      </c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</row>
    <row r="57" ht="14.25" customHeight="1" spans="3:20">
      <c r="C57" s="25">
        <v>47</v>
      </c>
      <c r="D57" s="5" t="s">
        <v>118</v>
      </c>
      <c r="E57" s="13" t="s">
        <v>119</v>
      </c>
      <c r="F57" s="26">
        <f>Lab_CIE!P57</f>
        <v>27.4</v>
      </c>
      <c r="G57" s="26">
        <f>Lab_CIA!J57</f>
        <v>17.6</v>
      </c>
      <c r="H57" s="26">
        <f t="shared" si="0"/>
        <v>45</v>
      </c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</row>
    <row r="58" ht="14.25" customHeight="1" spans="3:20">
      <c r="C58" s="25">
        <v>48</v>
      </c>
      <c r="D58" s="5" t="s">
        <v>120</v>
      </c>
      <c r="E58" s="13" t="s">
        <v>121</v>
      </c>
      <c r="F58" s="26">
        <f>Lab_CIE!P58</f>
        <v>27</v>
      </c>
      <c r="G58" s="26">
        <f>Lab_CIA!J58</f>
        <v>17.6</v>
      </c>
      <c r="H58" s="26">
        <f t="shared" si="0"/>
        <v>44.6</v>
      </c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</row>
    <row r="59" ht="14.25" customHeight="1" spans="3:20">
      <c r="C59" s="25">
        <v>49</v>
      </c>
      <c r="D59" s="5" t="s">
        <v>122</v>
      </c>
      <c r="E59" s="13" t="s">
        <v>123</v>
      </c>
      <c r="F59" s="26">
        <f>Lab_CIE!P59</f>
        <v>27</v>
      </c>
      <c r="G59" s="26">
        <f>Lab_CIA!J59</f>
        <v>18</v>
      </c>
      <c r="H59" s="26">
        <f t="shared" si="0"/>
        <v>45</v>
      </c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</row>
    <row r="60" ht="14.25" customHeight="1" spans="3:20">
      <c r="C60" s="25">
        <v>50</v>
      </c>
      <c r="D60" s="5" t="s">
        <v>124</v>
      </c>
      <c r="E60" s="13" t="s">
        <v>125</v>
      </c>
      <c r="F60" s="26">
        <f>Lab_CIE!P60</f>
        <v>27.9</v>
      </c>
      <c r="G60" s="26">
        <f>Lab_CIA!J60</f>
        <v>18.4</v>
      </c>
      <c r="H60" s="26">
        <f t="shared" si="0"/>
        <v>46.3</v>
      </c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</row>
    <row r="61" ht="14.25" customHeight="1" spans="3:20">
      <c r="C61" s="25">
        <v>51</v>
      </c>
      <c r="D61" s="5" t="s">
        <v>126</v>
      </c>
      <c r="E61" s="13" t="s">
        <v>127</v>
      </c>
      <c r="F61" s="26">
        <f>Lab_CIE!P61</f>
        <v>29</v>
      </c>
      <c r="G61" s="26">
        <f>Lab_CIA!J61</f>
        <v>17.2</v>
      </c>
      <c r="H61" s="26">
        <f t="shared" si="0"/>
        <v>46.2</v>
      </c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</row>
    <row r="62" ht="14.25" customHeight="1" spans="3:20">
      <c r="C62" s="25">
        <v>52</v>
      </c>
      <c r="D62" s="5" t="s">
        <v>128</v>
      </c>
      <c r="E62" s="13" t="s">
        <v>129</v>
      </c>
      <c r="F62" s="26">
        <f>Lab_CIE!P62</f>
        <v>0</v>
      </c>
      <c r="G62" s="26">
        <f>Lab_CIA!J62</f>
        <v>0</v>
      </c>
      <c r="H62" s="26">
        <f t="shared" si="0"/>
        <v>0</v>
      </c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</row>
    <row r="63" ht="14.25" customHeight="1" spans="3:20">
      <c r="C63" s="25">
        <v>53</v>
      </c>
      <c r="D63" s="5" t="s">
        <v>130</v>
      </c>
      <c r="E63" s="13" t="s">
        <v>131</v>
      </c>
      <c r="F63" s="26">
        <f>Lab_CIE!P63</f>
        <v>29.4</v>
      </c>
      <c r="G63" s="26">
        <f>Lab_CIA!J63</f>
        <v>18</v>
      </c>
      <c r="H63" s="26">
        <f t="shared" si="0"/>
        <v>47.4</v>
      </c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</row>
    <row r="64" ht="14.25" customHeight="1" spans="3:20">
      <c r="C64" s="25">
        <v>54</v>
      </c>
      <c r="D64" s="5" t="s">
        <v>132</v>
      </c>
      <c r="E64" s="13" t="s">
        <v>133</v>
      </c>
      <c r="F64" s="26">
        <f>Lab_CIE!P64</f>
        <v>28.6</v>
      </c>
      <c r="G64" s="26">
        <f>Lab_CIA!J64</f>
        <v>18</v>
      </c>
      <c r="H64" s="26">
        <f t="shared" si="0"/>
        <v>46.6</v>
      </c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</row>
    <row r="65" ht="14.25" customHeight="1" spans="3:20">
      <c r="C65" s="25">
        <v>55</v>
      </c>
      <c r="D65" s="5" t="s">
        <v>134</v>
      </c>
      <c r="E65" s="13" t="s">
        <v>135</v>
      </c>
      <c r="F65" s="26">
        <f>Lab_CIE!P65</f>
        <v>28.5</v>
      </c>
      <c r="G65" s="26">
        <f>Lab_CIA!J65</f>
        <v>19.2</v>
      </c>
      <c r="H65" s="26">
        <f t="shared" si="0"/>
        <v>47.7</v>
      </c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</row>
    <row r="66" ht="14.25" customHeight="1" spans="3:20">
      <c r="C66" s="25">
        <v>56</v>
      </c>
      <c r="D66" s="5" t="s">
        <v>136</v>
      </c>
      <c r="E66" s="13" t="s">
        <v>137</v>
      </c>
      <c r="F66" s="26">
        <f>Lab_CIE!P66</f>
        <v>27.9</v>
      </c>
      <c r="G66" s="26">
        <f>Lab_CIA!J66</f>
        <v>18.4</v>
      </c>
      <c r="H66" s="26">
        <f t="shared" si="0"/>
        <v>46.3</v>
      </c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</row>
    <row r="67" ht="14.25" customHeight="1" spans="3:20">
      <c r="C67" s="25">
        <v>57</v>
      </c>
      <c r="D67" s="5" t="s">
        <v>138</v>
      </c>
      <c r="E67" s="13" t="s">
        <v>139</v>
      </c>
      <c r="F67" s="26">
        <f>Lab_CIE!P67</f>
        <v>27.3</v>
      </c>
      <c r="G67" s="26">
        <f>Lab_CIA!J67</f>
        <v>19.2</v>
      </c>
      <c r="H67" s="26">
        <f t="shared" si="0"/>
        <v>46.5</v>
      </c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</row>
    <row r="68" ht="14.25" customHeight="1" spans="3:20">
      <c r="C68" s="25">
        <v>58</v>
      </c>
      <c r="D68" s="5" t="s">
        <v>140</v>
      </c>
      <c r="E68" s="13" t="s">
        <v>141</v>
      </c>
      <c r="F68" s="26">
        <f>Lab_CIE!P68</f>
        <v>27.6</v>
      </c>
      <c r="G68" s="26">
        <f>Lab_CIA!J68</f>
        <v>16.8</v>
      </c>
      <c r="H68" s="26">
        <f t="shared" si="0"/>
        <v>44.4</v>
      </c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</row>
    <row r="69" ht="14.25" customHeight="1" spans="3:20">
      <c r="C69" s="25">
        <v>59</v>
      </c>
      <c r="D69" s="5" t="s">
        <v>142</v>
      </c>
      <c r="E69" s="13" t="s">
        <v>143</v>
      </c>
      <c r="F69" s="26">
        <f>Lab_CIE!P69</f>
        <v>28.2</v>
      </c>
      <c r="G69" s="26">
        <f>Lab_CIA!J69</f>
        <v>18</v>
      </c>
      <c r="H69" s="26">
        <f t="shared" si="0"/>
        <v>46.2</v>
      </c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</row>
    <row r="70" ht="14.25" customHeight="1" spans="3:20">
      <c r="C70" s="25">
        <v>60</v>
      </c>
      <c r="D70" s="5" t="s">
        <v>144</v>
      </c>
      <c r="E70" s="13" t="s">
        <v>145</v>
      </c>
      <c r="F70" s="26">
        <f>Lab_CIE!P70</f>
        <v>28.9</v>
      </c>
      <c r="G70" s="26">
        <f>Lab_CIA!J70</f>
        <v>18.8</v>
      </c>
      <c r="H70" s="26">
        <f t="shared" si="0"/>
        <v>47.7</v>
      </c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</row>
    <row r="71" ht="14.25" customHeight="1" spans="3:20">
      <c r="C71" s="25">
        <v>61</v>
      </c>
      <c r="D71" s="5" t="s">
        <v>146</v>
      </c>
      <c r="E71" s="13" t="s">
        <v>147</v>
      </c>
      <c r="F71" s="26">
        <f>Lab_CIE!P71</f>
        <v>28.8</v>
      </c>
      <c r="G71" s="26">
        <f>Lab_CIA!J71</f>
        <v>19.2</v>
      </c>
      <c r="H71" s="26">
        <f t="shared" si="0"/>
        <v>48</v>
      </c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</row>
    <row r="72" ht="14.25" customHeight="1" spans="3:20">
      <c r="C72" s="25">
        <v>62</v>
      </c>
      <c r="D72" s="5" t="s">
        <v>148</v>
      </c>
      <c r="E72" s="13" t="s">
        <v>149</v>
      </c>
      <c r="F72" s="26">
        <f>Lab_CIE!P72</f>
        <v>27.6</v>
      </c>
      <c r="G72" s="26">
        <f>Lab_CIA!J72</f>
        <v>19.6</v>
      </c>
      <c r="H72" s="26">
        <f t="shared" si="0"/>
        <v>47.2</v>
      </c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</row>
    <row r="73" ht="14.25" customHeight="1" spans="3:20">
      <c r="C73" s="25">
        <v>63</v>
      </c>
      <c r="D73" s="5" t="s">
        <v>150</v>
      </c>
      <c r="E73" s="13" t="s">
        <v>151</v>
      </c>
      <c r="F73" s="26">
        <f>Lab_CIE!P73</f>
        <v>28.9</v>
      </c>
      <c r="G73" s="26">
        <f>Lab_CIA!J73</f>
        <v>19.2</v>
      </c>
      <c r="H73" s="26">
        <f t="shared" si="0"/>
        <v>48.1</v>
      </c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</row>
    <row r="74" ht="14.25" customHeight="1" spans="3:20">
      <c r="C74" s="25">
        <v>64</v>
      </c>
      <c r="D74" s="5" t="s">
        <v>152</v>
      </c>
      <c r="E74" s="13" t="s">
        <v>153</v>
      </c>
      <c r="F74" s="26">
        <f>Lab_CIE!P74</f>
        <v>28.5</v>
      </c>
      <c r="G74" s="26">
        <f>Lab_CIA!J74</f>
        <v>18.8</v>
      </c>
      <c r="H74" s="26">
        <f t="shared" si="0"/>
        <v>47.3</v>
      </c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</row>
    <row r="75" ht="14.25" customHeight="1" spans="3:16">
      <c r="C75" s="25">
        <v>65</v>
      </c>
      <c r="D75" s="5" t="s">
        <v>154</v>
      </c>
      <c r="E75" s="13" t="s">
        <v>155</v>
      </c>
      <c r="F75" s="26">
        <f>Lab_CIE!P75</f>
        <v>29.5</v>
      </c>
      <c r="G75" s="3">
        <f>Lab_CIA!J75</f>
        <v>18.4</v>
      </c>
      <c r="H75" s="26">
        <f t="shared" si="0"/>
        <v>47.9</v>
      </c>
      <c r="P75" s="27"/>
    </row>
    <row r="76" ht="14.25" customHeight="1" spans="3:16">
      <c r="C76" s="25">
        <v>66</v>
      </c>
      <c r="D76" s="5" t="s">
        <v>156</v>
      </c>
      <c r="E76" s="13" t="s">
        <v>157</v>
      </c>
      <c r="F76" s="3">
        <f>Lab_CIE!P76</f>
        <v>29.6</v>
      </c>
      <c r="G76" s="3">
        <f>Lab_CIA!J76</f>
        <v>18</v>
      </c>
      <c r="H76" s="26">
        <f t="shared" ref="H76:H139" si="1">F76+G76</f>
        <v>47.6</v>
      </c>
      <c r="P76" s="27"/>
    </row>
    <row r="77" ht="14.25" customHeight="1" spans="3:16">
      <c r="C77" s="25">
        <v>67</v>
      </c>
      <c r="D77" s="5" t="s">
        <v>158</v>
      </c>
      <c r="E77" s="13" t="s">
        <v>159</v>
      </c>
      <c r="F77" s="3">
        <f>Lab_CIE!P77</f>
        <v>29.4</v>
      </c>
      <c r="G77" s="3">
        <f>Lab_CIA!J77</f>
        <v>18.4</v>
      </c>
      <c r="H77" s="26">
        <f t="shared" si="1"/>
        <v>47.8</v>
      </c>
      <c r="P77" s="27"/>
    </row>
    <row r="78" ht="14.25" customHeight="1" spans="3:16">
      <c r="C78" s="25">
        <v>68</v>
      </c>
      <c r="D78" s="5" t="s">
        <v>160</v>
      </c>
      <c r="E78" s="13" t="s">
        <v>161</v>
      </c>
      <c r="F78" s="3">
        <f>Lab_CIE!P78</f>
        <v>29</v>
      </c>
      <c r="G78" s="3">
        <f>Lab_CIA!J78</f>
        <v>18.4</v>
      </c>
      <c r="H78" s="26">
        <f t="shared" si="1"/>
        <v>47.4</v>
      </c>
      <c r="P78" s="27"/>
    </row>
    <row r="79" ht="14.25" customHeight="1" spans="3:16">
      <c r="C79" s="25">
        <v>69</v>
      </c>
      <c r="D79" s="5" t="s">
        <v>162</v>
      </c>
      <c r="E79" s="13" t="s">
        <v>163</v>
      </c>
      <c r="F79" s="3">
        <f>Lab_CIE!P79</f>
        <v>29.6</v>
      </c>
      <c r="G79" s="3">
        <f>Lab_CIA!J79</f>
        <v>16.8</v>
      </c>
      <c r="H79" s="26">
        <f t="shared" si="1"/>
        <v>46.4</v>
      </c>
      <c r="P79" s="27"/>
    </row>
    <row r="80" ht="14.25" customHeight="1" spans="3:16">
      <c r="C80" s="25">
        <v>70</v>
      </c>
      <c r="D80" s="5" t="s">
        <v>164</v>
      </c>
      <c r="E80" s="13" t="s">
        <v>165</v>
      </c>
      <c r="F80" s="3">
        <f>Lab_CIE!P80</f>
        <v>29.5</v>
      </c>
      <c r="G80" s="3">
        <f>Lab_CIA!J80</f>
        <v>0</v>
      </c>
      <c r="H80" s="26">
        <f t="shared" si="1"/>
        <v>29.5</v>
      </c>
      <c r="P80" s="27"/>
    </row>
    <row r="81" ht="14.25" customHeight="1" spans="3:16">
      <c r="C81" s="25">
        <v>71</v>
      </c>
      <c r="D81" s="5" t="s">
        <v>166</v>
      </c>
      <c r="E81" s="13" t="s">
        <v>167</v>
      </c>
      <c r="F81" s="3">
        <f>Lab_CIE!P81</f>
        <v>28</v>
      </c>
      <c r="G81" s="3">
        <f>Lab_CIA!J81</f>
        <v>18</v>
      </c>
      <c r="H81" s="26">
        <f t="shared" si="1"/>
        <v>46</v>
      </c>
      <c r="P81" s="27"/>
    </row>
    <row r="82" ht="14.25" customHeight="1" spans="3:16">
      <c r="C82" s="25">
        <v>72</v>
      </c>
      <c r="D82" s="5" t="s">
        <v>168</v>
      </c>
      <c r="E82" s="13" t="s">
        <v>169</v>
      </c>
      <c r="F82" s="3">
        <f>Lab_CIE!P82</f>
        <v>25.7</v>
      </c>
      <c r="G82" s="3">
        <f>Lab_CIA!J82</f>
        <v>15.2</v>
      </c>
      <c r="H82" s="26">
        <f t="shared" si="1"/>
        <v>40.9</v>
      </c>
      <c r="P82" s="27"/>
    </row>
    <row r="83" ht="14.25" customHeight="1" spans="3:16">
      <c r="C83" s="25">
        <v>73</v>
      </c>
      <c r="D83" s="5" t="s">
        <v>170</v>
      </c>
      <c r="E83" s="13" t="s">
        <v>171</v>
      </c>
      <c r="F83" s="3">
        <f>Lab_CIE!P83</f>
        <v>29.4</v>
      </c>
      <c r="G83" s="3">
        <f>Lab_CIA!J83</f>
        <v>0</v>
      </c>
      <c r="H83" s="26">
        <f t="shared" si="1"/>
        <v>29.4</v>
      </c>
      <c r="P83" s="27"/>
    </row>
    <row r="84" ht="14.25" customHeight="1" spans="3:16">
      <c r="C84" s="25">
        <v>74</v>
      </c>
      <c r="D84" s="5" t="s">
        <v>172</v>
      </c>
      <c r="E84" s="13" t="s">
        <v>173</v>
      </c>
      <c r="F84" s="3">
        <f>Lab_CIE!P84</f>
        <v>26.4</v>
      </c>
      <c r="G84" s="3">
        <f>Lab_CIA!J84</f>
        <v>18</v>
      </c>
      <c r="H84" s="26">
        <f t="shared" si="1"/>
        <v>44.4</v>
      </c>
      <c r="P84" s="27"/>
    </row>
    <row r="85" ht="14.25" customHeight="1" spans="3:16">
      <c r="C85" s="25">
        <v>75</v>
      </c>
      <c r="D85" s="5" t="s">
        <v>174</v>
      </c>
      <c r="E85" s="13" t="s">
        <v>175</v>
      </c>
      <c r="F85" s="3">
        <f>Lab_CIE!P85</f>
        <v>26.3</v>
      </c>
      <c r="G85" s="3">
        <f>Lab_CIA!J85</f>
        <v>18</v>
      </c>
      <c r="H85" s="26">
        <f t="shared" si="1"/>
        <v>44.3</v>
      </c>
      <c r="P85" s="27"/>
    </row>
    <row r="86" ht="14.25" customHeight="1" spans="3:16">
      <c r="C86" s="25">
        <v>76</v>
      </c>
      <c r="D86" s="5" t="s">
        <v>176</v>
      </c>
      <c r="E86" s="13" t="s">
        <v>177</v>
      </c>
      <c r="F86" s="3">
        <f>Lab_CIE!P86</f>
        <v>26.4</v>
      </c>
      <c r="G86" s="3">
        <f>Lab_CIA!J86</f>
        <v>0</v>
      </c>
      <c r="H86" s="26">
        <f t="shared" si="1"/>
        <v>26.4</v>
      </c>
      <c r="P86" s="27"/>
    </row>
    <row r="87" ht="14.25" customHeight="1" spans="3:16">
      <c r="C87" s="25">
        <v>77</v>
      </c>
      <c r="D87" s="5" t="s">
        <v>178</v>
      </c>
      <c r="E87" s="13" t="s">
        <v>179</v>
      </c>
      <c r="F87" s="3">
        <f>Lab_CIE!P87</f>
        <v>29.4</v>
      </c>
      <c r="G87" s="3">
        <f>Lab_CIA!J87</f>
        <v>0</v>
      </c>
      <c r="H87" s="26">
        <f t="shared" si="1"/>
        <v>29.4</v>
      </c>
      <c r="P87" s="27"/>
    </row>
    <row r="88" ht="14.25" customHeight="1" spans="3:16">
      <c r="C88" s="25">
        <v>78</v>
      </c>
      <c r="D88" s="5" t="s">
        <v>180</v>
      </c>
      <c r="E88" s="13" t="s">
        <v>181</v>
      </c>
      <c r="F88" s="3">
        <f>Lab_CIE!P88</f>
        <v>28.3</v>
      </c>
      <c r="G88" s="3">
        <f>Lab_CIA!J88</f>
        <v>18.4</v>
      </c>
      <c r="H88" s="26">
        <f t="shared" si="1"/>
        <v>46.7</v>
      </c>
      <c r="P88" s="27"/>
    </row>
    <row r="89" ht="14.25" customHeight="1" spans="3:16">
      <c r="C89" s="25">
        <v>79</v>
      </c>
      <c r="D89" s="5" t="s">
        <v>182</v>
      </c>
      <c r="E89" s="13" t="s">
        <v>183</v>
      </c>
      <c r="F89" s="3">
        <f>Lab_CIE!P89</f>
        <v>27.1</v>
      </c>
      <c r="G89" s="3">
        <f>Lab_CIA!J89</f>
        <v>17.6</v>
      </c>
      <c r="H89" s="26">
        <f t="shared" si="1"/>
        <v>44.7</v>
      </c>
      <c r="P89" s="27"/>
    </row>
    <row r="90" ht="14.25" customHeight="1" spans="3:16">
      <c r="C90" s="25">
        <v>80</v>
      </c>
      <c r="D90" s="5" t="s">
        <v>184</v>
      </c>
      <c r="E90" s="13" t="s">
        <v>185</v>
      </c>
      <c r="F90" s="3">
        <f>Lab_CIE!P90</f>
        <v>28.3</v>
      </c>
      <c r="G90" s="3">
        <f>Lab_CIA!J90</f>
        <v>18.8</v>
      </c>
      <c r="H90" s="26">
        <f t="shared" si="1"/>
        <v>47.1</v>
      </c>
      <c r="P90" s="27"/>
    </row>
    <row r="91" ht="14.25" customHeight="1" spans="3:16">
      <c r="C91" s="25">
        <v>81</v>
      </c>
      <c r="D91" s="5" t="s">
        <v>186</v>
      </c>
      <c r="E91" s="13" t="s">
        <v>187</v>
      </c>
      <c r="F91" s="3">
        <f>Lab_CIE!P91</f>
        <v>26.5</v>
      </c>
      <c r="G91" s="3">
        <f>Lab_CIA!J91</f>
        <v>0</v>
      </c>
      <c r="H91" s="26">
        <f t="shared" si="1"/>
        <v>26.5</v>
      </c>
      <c r="P91" s="27"/>
    </row>
    <row r="92" ht="14.25" customHeight="1" spans="3:16">
      <c r="C92" s="25">
        <v>82</v>
      </c>
      <c r="D92" s="5" t="s">
        <v>188</v>
      </c>
      <c r="E92" s="13" t="s">
        <v>189</v>
      </c>
      <c r="F92" s="3">
        <f>Lab_CIE!P92</f>
        <v>28</v>
      </c>
      <c r="G92" s="3">
        <f>Lab_CIA!J92</f>
        <v>18</v>
      </c>
      <c r="H92" s="26">
        <f t="shared" si="1"/>
        <v>46</v>
      </c>
      <c r="P92" s="27"/>
    </row>
    <row r="93" ht="14.25" customHeight="1" spans="3:16">
      <c r="C93" s="25">
        <v>83</v>
      </c>
      <c r="D93" s="5" t="s">
        <v>190</v>
      </c>
      <c r="E93" s="13" t="s">
        <v>191</v>
      </c>
      <c r="F93" s="3">
        <f>Lab_CIE!P93</f>
        <v>29.3</v>
      </c>
      <c r="G93" s="3">
        <f>Lab_CIA!J93</f>
        <v>19.6</v>
      </c>
      <c r="H93" s="26">
        <f t="shared" si="1"/>
        <v>48.9</v>
      </c>
      <c r="P93" s="27"/>
    </row>
    <row r="94" ht="14.25" customHeight="1" spans="3:16">
      <c r="C94" s="25">
        <v>84</v>
      </c>
      <c r="D94" s="5" t="s">
        <v>192</v>
      </c>
      <c r="E94" s="13" t="s">
        <v>193</v>
      </c>
      <c r="F94" s="3">
        <f>Lab_CIE!P94</f>
        <v>26.8</v>
      </c>
      <c r="G94" s="3">
        <f>Lab_CIA!J94</f>
        <v>16</v>
      </c>
      <c r="H94" s="26">
        <f t="shared" si="1"/>
        <v>42.8</v>
      </c>
      <c r="P94" s="27"/>
    </row>
    <row r="95" ht="14.25" customHeight="1" spans="3:16">
      <c r="C95" s="25">
        <v>85</v>
      </c>
      <c r="D95" s="5" t="s">
        <v>194</v>
      </c>
      <c r="E95" s="13" t="s">
        <v>195</v>
      </c>
      <c r="F95" s="3">
        <f>Lab_CIE!P95</f>
        <v>26.3</v>
      </c>
      <c r="G95" s="3">
        <f>Lab_CIA!J95</f>
        <v>18.4</v>
      </c>
      <c r="H95" s="26">
        <f t="shared" si="1"/>
        <v>44.7</v>
      </c>
      <c r="P95" s="27"/>
    </row>
    <row r="96" ht="14.25" customHeight="1" spans="3:16">
      <c r="C96" s="25">
        <v>86</v>
      </c>
      <c r="D96" s="5" t="s">
        <v>196</v>
      </c>
      <c r="E96" s="13" t="s">
        <v>197</v>
      </c>
      <c r="F96" s="3">
        <f>Lab_CIE!P96</f>
        <v>28.2</v>
      </c>
      <c r="G96" s="3">
        <f>Lab_CIA!J96</f>
        <v>17.6</v>
      </c>
      <c r="H96" s="26">
        <f t="shared" si="1"/>
        <v>45.8</v>
      </c>
      <c r="P96" s="27"/>
    </row>
    <row r="97" ht="14.25" customHeight="1" spans="3:16">
      <c r="C97" s="25">
        <v>87</v>
      </c>
      <c r="D97" s="5" t="s">
        <v>198</v>
      </c>
      <c r="E97" s="13" t="s">
        <v>199</v>
      </c>
      <c r="F97" s="3">
        <f>Lab_CIE!P97</f>
        <v>28.4</v>
      </c>
      <c r="G97" s="3">
        <f>Lab_CIA!J97</f>
        <v>20</v>
      </c>
      <c r="H97" s="26">
        <f t="shared" si="1"/>
        <v>48.4</v>
      </c>
      <c r="P97" s="27"/>
    </row>
    <row r="98" ht="14.25" customHeight="1" spans="3:16">
      <c r="C98" s="25">
        <v>88</v>
      </c>
      <c r="D98" s="5" t="s">
        <v>200</v>
      </c>
      <c r="E98" s="13" t="s">
        <v>201</v>
      </c>
      <c r="F98" s="3">
        <f>Lab_CIE!P98</f>
        <v>29.1</v>
      </c>
      <c r="G98" s="3">
        <f>Lab_CIA!J98</f>
        <v>17.6</v>
      </c>
      <c r="H98" s="26">
        <f t="shared" si="1"/>
        <v>46.7</v>
      </c>
      <c r="P98" s="27"/>
    </row>
    <row r="99" ht="14.25" customHeight="1" spans="3:16">
      <c r="C99" s="25">
        <v>89</v>
      </c>
      <c r="D99" s="5" t="s">
        <v>202</v>
      </c>
      <c r="E99" s="13" t="s">
        <v>203</v>
      </c>
      <c r="F99" s="3">
        <f>Lab_CIE!P99</f>
        <v>28.9</v>
      </c>
      <c r="G99" s="3">
        <f>Lab_CIA!J99</f>
        <v>16</v>
      </c>
      <c r="H99" s="26">
        <f t="shared" si="1"/>
        <v>44.9</v>
      </c>
      <c r="P99" s="27"/>
    </row>
    <row r="100" ht="14.25" customHeight="1" spans="3:16">
      <c r="C100" s="25">
        <v>90</v>
      </c>
      <c r="D100" s="5" t="s">
        <v>204</v>
      </c>
      <c r="E100" s="13" t="s">
        <v>205</v>
      </c>
      <c r="F100" s="3">
        <f>Lab_CIE!P100</f>
        <v>28.9</v>
      </c>
      <c r="G100" s="3">
        <f>Lab_CIA!J100</f>
        <v>17.2</v>
      </c>
      <c r="H100" s="26">
        <f t="shared" si="1"/>
        <v>46.1</v>
      </c>
      <c r="P100" s="27"/>
    </row>
    <row r="101" ht="14.25" customHeight="1" spans="3:16">
      <c r="C101" s="25">
        <v>91</v>
      </c>
      <c r="D101" s="5" t="s">
        <v>206</v>
      </c>
      <c r="E101" s="13" t="s">
        <v>207</v>
      </c>
      <c r="F101" s="3">
        <f>Lab_CIE!P101</f>
        <v>28.7</v>
      </c>
      <c r="G101" s="3">
        <f>Lab_CIA!J101</f>
        <v>19.6</v>
      </c>
      <c r="H101" s="26">
        <f t="shared" si="1"/>
        <v>48.3</v>
      </c>
      <c r="P101" s="27"/>
    </row>
    <row r="102" ht="14.25" customHeight="1" spans="3:16">
      <c r="C102" s="25">
        <v>92</v>
      </c>
      <c r="D102" s="5" t="s">
        <v>208</v>
      </c>
      <c r="E102" s="13" t="s">
        <v>209</v>
      </c>
      <c r="F102" s="3">
        <f>Lab_CIE!P102</f>
        <v>29.4</v>
      </c>
      <c r="G102" s="3">
        <f>Lab_CIA!J102</f>
        <v>16.4</v>
      </c>
      <c r="H102" s="26">
        <f t="shared" si="1"/>
        <v>45.8</v>
      </c>
      <c r="P102" s="27"/>
    </row>
    <row r="103" ht="14.25" customHeight="1" spans="3:16">
      <c r="C103" s="25">
        <v>93</v>
      </c>
      <c r="D103" s="5" t="s">
        <v>210</v>
      </c>
      <c r="E103" s="13" t="s">
        <v>211</v>
      </c>
      <c r="F103" s="3" t="e">
        <f>Lab_CIE!P103</f>
        <v>#DIV/0!</v>
      </c>
      <c r="G103" s="3">
        <f>Lab_CIA!J103</f>
        <v>0</v>
      </c>
      <c r="H103" s="26" t="e">
        <f t="shared" si="1"/>
        <v>#DIV/0!</v>
      </c>
      <c r="P103" s="27"/>
    </row>
    <row r="104" ht="14.25" customHeight="1" spans="3:16">
      <c r="C104" s="25">
        <v>94</v>
      </c>
      <c r="D104" s="5" t="s">
        <v>212</v>
      </c>
      <c r="E104" s="13" t="s">
        <v>213</v>
      </c>
      <c r="F104" s="3">
        <f>Lab_CIE!P104</f>
        <v>29.6</v>
      </c>
      <c r="G104" s="3">
        <f>Lab_CIA!J104</f>
        <v>17.6</v>
      </c>
      <c r="H104" s="26">
        <f t="shared" si="1"/>
        <v>47.2</v>
      </c>
      <c r="P104" s="27"/>
    </row>
    <row r="105" ht="14.25" customHeight="1" spans="3:16">
      <c r="C105" s="25">
        <v>95</v>
      </c>
      <c r="D105" s="5" t="s">
        <v>214</v>
      </c>
      <c r="E105" s="13" t="s">
        <v>215</v>
      </c>
      <c r="F105" s="3">
        <f>Lab_CIE!P105</f>
        <v>29.6</v>
      </c>
      <c r="G105" s="3">
        <f>Lab_CIA!J105</f>
        <v>15.2</v>
      </c>
      <c r="H105" s="26">
        <f t="shared" si="1"/>
        <v>44.8</v>
      </c>
      <c r="P105" s="27"/>
    </row>
    <row r="106" ht="14.25" customHeight="1" spans="3:16">
      <c r="C106" s="25">
        <v>96</v>
      </c>
      <c r="D106" s="5" t="s">
        <v>216</v>
      </c>
      <c r="E106" s="13" t="s">
        <v>217</v>
      </c>
      <c r="F106" s="3">
        <f>Lab_CIE!P106</f>
        <v>29.6</v>
      </c>
      <c r="G106" s="3">
        <f>Lab_CIA!J106</f>
        <v>16</v>
      </c>
      <c r="H106" s="26">
        <f t="shared" si="1"/>
        <v>45.6</v>
      </c>
      <c r="P106" s="27"/>
    </row>
    <row r="107" ht="14.25" customHeight="1" spans="3:16">
      <c r="C107" s="25">
        <v>97</v>
      </c>
      <c r="D107" s="5" t="s">
        <v>218</v>
      </c>
      <c r="E107" s="13" t="s">
        <v>219</v>
      </c>
      <c r="F107" s="3">
        <f>Lab_CIE!P107</f>
        <v>29.6</v>
      </c>
      <c r="G107" s="3">
        <f>Lab_CIA!J107</f>
        <v>16.8</v>
      </c>
      <c r="H107" s="26">
        <f t="shared" si="1"/>
        <v>46.4</v>
      </c>
      <c r="P107" s="27"/>
    </row>
    <row r="108" ht="14.25" customHeight="1" spans="3:16">
      <c r="C108" s="25">
        <v>98</v>
      </c>
      <c r="D108" s="5" t="s">
        <v>220</v>
      </c>
      <c r="E108" s="13" t="s">
        <v>221</v>
      </c>
      <c r="F108" s="3">
        <f>Lab_CIE!P108</f>
        <v>29.6</v>
      </c>
      <c r="G108" s="3">
        <f>Lab_CIA!J108</f>
        <v>17.6</v>
      </c>
      <c r="H108" s="26">
        <f t="shared" si="1"/>
        <v>47.2</v>
      </c>
      <c r="P108" s="27"/>
    </row>
    <row r="109" ht="14.25" customHeight="1" spans="3:16">
      <c r="C109" s="25">
        <v>99</v>
      </c>
      <c r="D109" s="5" t="s">
        <v>222</v>
      </c>
      <c r="E109" s="13" t="s">
        <v>223</v>
      </c>
      <c r="F109" s="3">
        <f>Lab_CIE!P109</f>
        <v>29.6</v>
      </c>
      <c r="G109" s="3">
        <f>Lab_CIA!J109</f>
        <v>18.8</v>
      </c>
      <c r="H109" s="26">
        <f t="shared" si="1"/>
        <v>48.4</v>
      </c>
      <c r="P109" s="27"/>
    </row>
    <row r="110" ht="14.25" customHeight="1" spans="3:16">
      <c r="C110" s="25">
        <v>100</v>
      </c>
      <c r="D110" s="5" t="s">
        <v>224</v>
      </c>
      <c r="E110" s="13" t="s">
        <v>225</v>
      </c>
      <c r="F110" s="3">
        <f>Lab_CIE!P110</f>
        <v>29.6</v>
      </c>
      <c r="G110" s="3">
        <f>Lab_CIA!J110</f>
        <v>19.6</v>
      </c>
      <c r="H110" s="26">
        <f t="shared" si="1"/>
        <v>49.2</v>
      </c>
      <c r="P110" s="27"/>
    </row>
    <row r="111" ht="14.25" customHeight="1" spans="3:16">
      <c r="C111" s="25">
        <v>101</v>
      </c>
      <c r="D111" s="5" t="s">
        <v>226</v>
      </c>
      <c r="E111" s="13" t="s">
        <v>227</v>
      </c>
      <c r="F111" s="3">
        <f>Lab_CIE!P111</f>
        <v>29.8</v>
      </c>
      <c r="G111" s="3">
        <f>Lab_CIA!J111</f>
        <v>16.4</v>
      </c>
      <c r="H111" s="26">
        <f t="shared" si="1"/>
        <v>46.2</v>
      </c>
      <c r="P111" s="27"/>
    </row>
    <row r="112" ht="14.25" customHeight="1" spans="3:16">
      <c r="C112" s="25">
        <v>102</v>
      </c>
      <c r="D112" s="5" t="s">
        <v>228</v>
      </c>
      <c r="E112" s="13" t="s">
        <v>229</v>
      </c>
      <c r="F112" s="3">
        <f>Lab_CIE!P112</f>
        <v>29.2</v>
      </c>
      <c r="G112" s="3">
        <f>Lab_CIA!J112</f>
        <v>18</v>
      </c>
      <c r="H112" s="26">
        <f t="shared" si="1"/>
        <v>47.2</v>
      </c>
      <c r="P112" s="27"/>
    </row>
    <row r="113" ht="14.25" customHeight="1" spans="3:16">
      <c r="C113" s="25">
        <v>103</v>
      </c>
      <c r="D113" s="5" t="s">
        <v>230</v>
      </c>
      <c r="E113" s="13" t="s">
        <v>231</v>
      </c>
      <c r="F113" s="3">
        <f>Lab_CIE!P113</f>
        <v>29.4</v>
      </c>
      <c r="G113" s="3">
        <f>Lab_CIA!J113</f>
        <v>18.8</v>
      </c>
      <c r="H113" s="26">
        <f t="shared" si="1"/>
        <v>48.2</v>
      </c>
      <c r="P113" s="27"/>
    </row>
    <row r="114" ht="14.25" customHeight="1" spans="3:16">
      <c r="C114" s="25">
        <v>104</v>
      </c>
      <c r="D114" s="5" t="s">
        <v>232</v>
      </c>
      <c r="E114" s="13" t="s">
        <v>233</v>
      </c>
      <c r="F114" s="3">
        <f>Lab_CIE!P114</f>
        <v>29.4</v>
      </c>
      <c r="G114" s="3">
        <f>Lab_CIA!J114</f>
        <v>18.8</v>
      </c>
      <c r="H114" s="26">
        <f t="shared" si="1"/>
        <v>48.2</v>
      </c>
      <c r="P114" s="27"/>
    </row>
    <row r="115" ht="14.25" customHeight="1" spans="3:16">
      <c r="C115" s="25">
        <v>105</v>
      </c>
      <c r="D115" s="5" t="s">
        <v>234</v>
      </c>
      <c r="E115" s="13" t="s">
        <v>235</v>
      </c>
      <c r="F115" s="3">
        <f>Lab_CIE!P115</f>
        <v>29.4</v>
      </c>
      <c r="G115" s="3">
        <f>Lab_CIA!J115</f>
        <v>19.2</v>
      </c>
      <c r="H115" s="26">
        <f t="shared" si="1"/>
        <v>48.6</v>
      </c>
      <c r="P115" s="27"/>
    </row>
    <row r="116" ht="14.25" customHeight="1" spans="3:16">
      <c r="C116" s="25">
        <v>106</v>
      </c>
      <c r="D116" s="5" t="s">
        <v>236</v>
      </c>
      <c r="E116" s="13" t="s">
        <v>237</v>
      </c>
      <c r="F116" s="3">
        <f>Lab_CIE!P116</f>
        <v>29.4</v>
      </c>
      <c r="G116" s="3">
        <f>Lab_CIA!J116</f>
        <v>18.4</v>
      </c>
      <c r="H116" s="26">
        <f t="shared" si="1"/>
        <v>47.8</v>
      </c>
      <c r="P116" s="27"/>
    </row>
    <row r="117" ht="14.25" customHeight="1" spans="3:16">
      <c r="C117" s="25">
        <v>107</v>
      </c>
      <c r="D117" s="5" t="s">
        <v>238</v>
      </c>
      <c r="E117" s="13" t="s">
        <v>239</v>
      </c>
      <c r="F117" s="3">
        <f>Lab_CIE!P117</f>
        <v>30</v>
      </c>
      <c r="G117" s="3">
        <f>Lab_CIA!J117</f>
        <v>17.6</v>
      </c>
      <c r="H117" s="26">
        <f t="shared" si="1"/>
        <v>47.6</v>
      </c>
      <c r="P117" s="27"/>
    </row>
    <row r="118" ht="14.25" customHeight="1" spans="3:16">
      <c r="C118" s="25">
        <v>108</v>
      </c>
      <c r="D118" s="5" t="s">
        <v>240</v>
      </c>
      <c r="E118" s="13" t="s">
        <v>241</v>
      </c>
      <c r="F118" s="3">
        <f>Lab_CIE!P118</f>
        <v>30</v>
      </c>
      <c r="G118" s="3">
        <f>Lab_CIA!J118</f>
        <v>18.4</v>
      </c>
      <c r="H118" s="26">
        <f t="shared" si="1"/>
        <v>48.4</v>
      </c>
      <c r="P118" s="27"/>
    </row>
    <row r="119" ht="14.25" customHeight="1" spans="3:16">
      <c r="C119" s="25">
        <v>109</v>
      </c>
      <c r="D119" s="5" t="s">
        <v>242</v>
      </c>
      <c r="E119" s="13" t="s">
        <v>243</v>
      </c>
      <c r="F119" s="3">
        <f>Lab_CIE!P119</f>
        <v>30</v>
      </c>
      <c r="G119" s="3">
        <f>Lab_CIA!J119</f>
        <v>18.4</v>
      </c>
      <c r="H119" s="26">
        <f t="shared" si="1"/>
        <v>48.4</v>
      </c>
      <c r="P119" s="27"/>
    </row>
    <row r="120" ht="14.25" customHeight="1" spans="3:16">
      <c r="C120" s="25">
        <v>110</v>
      </c>
      <c r="D120" s="5" t="s">
        <v>244</v>
      </c>
      <c r="E120" s="13" t="s">
        <v>245</v>
      </c>
      <c r="F120" s="3">
        <f>Lab_CIE!P120</f>
        <v>30</v>
      </c>
      <c r="G120" s="3">
        <f>Lab_CIA!J120</f>
        <v>18.4</v>
      </c>
      <c r="H120" s="26">
        <f t="shared" si="1"/>
        <v>48.4</v>
      </c>
      <c r="P120" s="27"/>
    </row>
    <row r="121" ht="14.25" customHeight="1" spans="3:16">
      <c r="C121" s="25">
        <v>111</v>
      </c>
      <c r="D121" s="5" t="s">
        <v>246</v>
      </c>
      <c r="E121" s="13" t="s">
        <v>247</v>
      </c>
      <c r="F121" s="3">
        <f>Lab_CIE!P121</f>
        <v>30</v>
      </c>
      <c r="G121" s="3">
        <f>Lab_CIA!J121</f>
        <v>17.2</v>
      </c>
      <c r="H121" s="26">
        <f t="shared" si="1"/>
        <v>47.2</v>
      </c>
      <c r="P121" s="27"/>
    </row>
    <row r="122" ht="14.25" customHeight="1" spans="3:16">
      <c r="C122" s="25">
        <v>112</v>
      </c>
      <c r="D122" s="5" t="s">
        <v>248</v>
      </c>
      <c r="E122" s="13" t="s">
        <v>249</v>
      </c>
      <c r="F122" s="3">
        <f>Lab_CIE!P122</f>
        <v>29.8</v>
      </c>
      <c r="G122" s="3">
        <f>Lab_CIA!J122</f>
        <v>16.8</v>
      </c>
      <c r="H122" s="26">
        <f t="shared" si="1"/>
        <v>46.6</v>
      </c>
      <c r="P122" s="27"/>
    </row>
    <row r="123" ht="14.25" customHeight="1" spans="3:16">
      <c r="C123" s="25">
        <v>113</v>
      </c>
      <c r="D123" s="5" t="s">
        <v>250</v>
      </c>
      <c r="E123" s="13" t="s">
        <v>251</v>
      </c>
      <c r="F123" s="3">
        <f>Lab_CIE!P123</f>
        <v>29.9</v>
      </c>
      <c r="G123" s="3">
        <f>Lab_CIA!J123</f>
        <v>17.2</v>
      </c>
      <c r="H123" s="26">
        <f t="shared" si="1"/>
        <v>47.1</v>
      </c>
      <c r="P123" s="27"/>
    </row>
    <row r="124" ht="14.25" customHeight="1" spans="3:16">
      <c r="C124" s="25">
        <v>114</v>
      </c>
      <c r="D124" s="5" t="s">
        <v>252</v>
      </c>
      <c r="E124" s="13" t="s">
        <v>253</v>
      </c>
      <c r="F124" s="3">
        <f>Lab_CIE!P124</f>
        <v>29.7</v>
      </c>
      <c r="G124" s="3">
        <f>Lab_CIA!J124</f>
        <v>15.2</v>
      </c>
      <c r="H124" s="26">
        <f t="shared" si="1"/>
        <v>44.9</v>
      </c>
      <c r="P124" s="27"/>
    </row>
    <row r="125" ht="14.25" customHeight="1" spans="3:16">
      <c r="C125" s="25">
        <v>115</v>
      </c>
      <c r="D125" s="5" t="s">
        <v>254</v>
      </c>
      <c r="E125" s="13" t="s">
        <v>255</v>
      </c>
      <c r="F125" s="3">
        <f>Lab_CIE!P125</f>
        <v>30</v>
      </c>
      <c r="G125" s="3">
        <f>Lab_CIA!J125</f>
        <v>18.8</v>
      </c>
      <c r="H125" s="26">
        <f t="shared" si="1"/>
        <v>48.8</v>
      </c>
      <c r="P125" s="27"/>
    </row>
    <row r="126" ht="14.25" customHeight="1" spans="3:16">
      <c r="C126" s="25">
        <v>116</v>
      </c>
      <c r="D126" s="5" t="s">
        <v>256</v>
      </c>
      <c r="E126" s="13" t="s">
        <v>257</v>
      </c>
      <c r="F126" s="3">
        <f>Lab_CIE!P126</f>
        <v>28.8</v>
      </c>
      <c r="G126" s="3">
        <f>Lab_CIA!J126</f>
        <v>17.2</v>
      </c>
      <c r="H126" s="26">
        <f t="shared" si="1"/>
        <v>46</v>
      </c>
      <c r="P126" s="27"/>
    </row>
    <row r="127" ht="14.25" customHeight="1" spans="3:16">
      <c r="C127" s="25">
        <v>117</v>
      </c>
      <c r="D127" s="5" t="s">
        <v>258</v>
      </c>
      <c r="E127" s="13" t="s">
        <v>259</v>
      </c>
      <c r="F127" s="3">
        <f>Lab_CIE!P127</f>
        <v>30</v>
      </c>
      <c r="G127" s="3">
        <f>Lab_CIA!J127</f>
        <v>17.6</v>
      </c>
      <c r="H127" s="26">
        <f t="shared" si="1"/>
        <v>47.6</v>
      </c>
      <c r="P127" s="27"/>
    </row>
    <row r="128" ht="14.25" customHeight="1" spans="3:16">
      <c r="C128" s="25">
        <v>118</v>
      </c>
      <c r="D128" s="5" t="s">
        <v>260</v>
      </c>
      <c r="E128" s="13" t="s">
        <v>261</v>
      </c>
      <c r="F128" s="3">
        <f>Lab_CIE!P128</f>
        <v>30</v>
      </c>
      <c r="G128" s="3">
        <f>Lab_CIA!J128</f>
        <v>17.2</v>
      </c>
      <c r="H128" s="26">
        <f t="shared" si="1"/>
        <v>47.2</v>
      </c>
      <c r="P128" s="27"/>
    </row>
    <row r="129" ht="14.25" customHeight="1" spans="3:16">
      <c r="C129" s="25">
        <v>119</v>
      </c>
      <c r="D129" s="5" t="s">
        <v>262</v>
      </c>
      <c r="E129" s="13" t="s">
        <v>263</v>
      </c>
      <c r="F129" s="3">
        <f>Lab_CIE!P129</f>
        <v>30</v>
      </c>
      <c r="G129" s="3">
        <f>Lab_CIA!J129</f>
        <v>18</v>
      </c>
      <c r="H129" s="26">
        <f t="shared" si="1"/>
        <v>48</v>
      </c>
      <c r="P129" s="27"/>
    </row>
    <row r="130" ht="14.25" customHeight="1" spans="3:16">
      <c r="C130" s="25">
        <v>120</v>
      </c>
      <c r="D130" s="5" t="s">
        <v>264</v>
      </c>
      <c r="E130" s="13" t="s">
        <v>265</v>
      </c>
      <c r="F130" s="3">
        <f>Lab_CIE!P130</f>
        <v>30</v>
      </c>
      <c r="G130" s="3">
        <f>Lab_CIA!J130</f>
        <v>18</v>
      </c>
      <c r="H130" s="26">
        <f t="shared" si="1"/>
        <v>48</v>
      </c>
      <c r="P130" s="27"/>
    </row>
    <row r="131" ht="14.25" customHeight="1" spans="3:16">
      <c r="C131" s="25">
        <v>121</v>
      </c>
      <c r="D131" s="5" t="s">
        <v>266</v>
      </c>
      <c r="E131" s="13" t="s">
        <v>267</v>
      </c>
      <c r="F131" s="3">
        <f>Lab_CIE!P131</f>
        <v>30</v>
      </c>
      <c r="G131" s="3">
        <f>Lab_CIA!J131</f>
        <v>16.8</v>
      </c>
      <c r="H131" s="26">
        <f t="shared" si="1"/>
        <v>46.8</v>
      </c>
      <c r="P131" s="27"/>
    </row>
    <row r="132" ht="14.25" customHeight="1" spans="3:16">
      <c r="C132" s="25">
        <v>122</v>
      </c>
      <c r="D132" s="5" t="s">
        <v>268</v>
      </c>
      <c r="E132" s="13" t="s">
        <v>269</v>
      </c>
      <c r="F132" s="3">
        <f>Lab_CIE!P132</f>
        <v>30</v>
      </c>
      <c r="G132" s="3">
        <f>Lab_CIA!J132</f>
        <v>18.4</v>
      </c>
      <c r="H132" s="26">
        <f t="shared" si="1"/>
        <v>48.4</v>
      </c>
      <c r="P132" s="27"/>
    </row>
    <row r="133" ht="14.25" customHeight="1" spans="3:16">
      <c r="C133" s="25">
        <v>123</v>
      </c>
      <c r="D133" s="5" t="s">
        <v>270</v>
      </c>
      <c r="E133" s="13" t="s">
        <v>271</v>
      </c>
      <c r="F133" s="3">
        <f>Lab_CIE!P133</f>
        <v>30</v>
      </c>
      <c r="G133" s="3">
        <f>Lab_CIA!J133</f>
        <v>16</v>
      </c>
      <c r="H133" s="26">
        <f t="shared" si="1"/>
        <v>46</v>
      </c>
      <c r="P133" s="27"/>
    </row>
    <row r="134" ht="14.25" customHeight="1" spans="3:16">
      <c r="C134" s="25">
        <v>124</v>
      </c>
      <c r="D134" s="5" t="s">
        <v>272</v>
      </c>
      <c r="E134" s="13" t="s">
        <v>273</v>
      </c>
      <c r="F134" s="3">
        <f>Lab_CIE!P134</f>
        <v>30</v>
      </c>
      <c r="G134" s="3">
        <f>Lab_CIA!J134</f>
        <v>18</v>
      </c>
      <c r="H134" s="26">
        <f t="shared" si="1"/>
        <v>48</v>
      </c>
      <c r="P134" s="27"/>
    </row>
    <row r="135" ht="14.25" customHeight="1" spans="3:16">
      <c r="C135" s="25">
        <v>125</v>
      </c>
      <c r="D135" s="5" t="s">
        <v>274</v>
      </c>
      <c r="E135" s="13" t="s">
        <v>275</v>
      </c>
      <c r="F135" s="3">
        <f>Lab_CIE!P135</f>
        <v>30</v>
      </c>
      <c r="G135" s="3">
        <f>Lab_CIA!J135</f>
        <v>0</v>
      </c>
      <c r="H135" s="26">
        <f t="shared" si="1"/>
        <v>30</v>
      </c>
      <c r="P135" s="27"/>
    </row>
    <row r="136" ht="14.25" customHeight="1" spans="3:16">
      <c r="C136" s="25">
        <v>126</v>
      </c>
      <c r="D136" s="5" t="s">
        <v>276</v>
      </c>
      <c r="E136" s="13" t="s">
        <v>277</v>
      </c>
      <c r="F136" s="3">
        <f>Lab_CIE!P136</f>
        <v>29.3</v>
      </c>
      <c r="G136" s="3">
        <f>Lab_CIA!J136</f>
        <v>16.8</v>
      </c>
      <c r="H136" s="26">
        <f t="shared" si="1"/>
        <v>46.1</v>
      </c>
      <c r="P136" s="27"/>
    </row>
    <row r="137" ht="14.25" customHeight="1" spans="3:16">
      <c r="C137" s="25">
        <v>127</v>
      </c>
      <c r="D137" s="5" t="s">
        <v>278</v>
      </c>
      <c r="E137" s="13" t="s">
        <v>279</v>
      </c>
      <c r="F137" s="3">
        <f>Lab_CIE!P137</f>
        <v>30</v>
      </c>
      <c r="G137" s="3">
        <f>Lab_CIA!J137</f>
        <v>16.8</v>
      </c>
      <c r="H137" s="26">
        <f t="shared" si="1"/>
        <v>46.8</v>
      </c>
      <c r="P137" s="27"/>
    </row>
    <row r="138" ht="14.25" customHeight="1" spans="3:16">
      <c r="C138" s="25">
        <v>128</v>
      </c>
      <c r="D138" s="5" t="s">
        <v>280</v>
      </c>
      <c r="E138" s="13" t="s">
        <v>281</v>
      </c>
      <c r="F138" s="3">
        <f>Lab_CIE!P138</f>
        <v>27.8</v>
      </c>
      <c r="G138" s="3">
        <f>Lab_CIA!J138</f>
        <v>18</v>
      </c>
      <c r="H138" s="26">
        <f t="shared" si="1"/>
        <v>45.8</v>
      </c>
      <c r="P138" s="27"/>
    </row>
    <row r="139" ht="14.25" customHeight="1" spans="3:16">
      <c r="C139" s="25">
        <v>129</v>
      </c>
      <c r="D139" s="5" t="s">
        <v>282</v>
      </c>
      <c r="E139" s="13" t="s">
        <v>283</v>
      </c>
      <c r="F139" s="3">
        <f>Lab_CIE!P139</f>
        <v>29.4</v>
      </c>
      <c r="G139" s="3">
        <f>Lab_CIA!J139</f>
        <v>18.8</v>
      </c>
      <c r="H139" s="26">
        <f t="shared" si="1"/>
        <v>48.2</v>
      </c>
      <c r="P139" s="27"/>
    </row>
    <row r="140" ht="14.25" customHeight="1" spans="3:16">
      <c r="C140" s="25">
        <v>130</v>
      </c>
      <c r="D140" s="5" t="s">
        <v>284</v>
      </c>
      <c r="E140" s="13" t="s">
        <v>285</v>
      </c>
      <c r="F140" s="3">
        <f>Lab_CIE!P140</f>
        <v>29.1</v>
      </c>
      <c r="G140" s="3">
        <f>Lab_CIA!J140</f>
        <v>17.2</v>
      </c>
      <c r="H140" s="26">
        <f t="shared" ref="H140:H203" si="2">F140+G140</f>
        <v>46.3</v>
      </c>
      <c r="P140" s="27"/>
    </row>
    <row r="141" ht="14.25" customHeight="1" spans="3:16">
      <c r="C141" s="25">
        <v>131</v>
      </c>
      <c r="D141" s="5" t="s">
        <v>286</v>
      </c>
      <c r="E141" s="13" t="s">
        <v>287</v>
      </c>
      <c r="F141" s="3">
        <f>Lab_CIE!P141</f>
        <v>27.5</v>
      </c>
      <c r="G141" s="3">
        <f>Lab_CIA!J141</f>
        <v>15.6</v>
      </c>
      <c r="H141" s="26">
        <f t="shared" si="2"/>
        <v>43.1</v>
      </c>
      <c r="P141" s="27"/>
    </row>
    <row r="142" ht="14.25" customHeight="1" spans="3:16">
      <c r="C142" s="25">
        <v>132</v>
      </c>
      <c r="D142" s="5" t="s">
        <v>288</v>
      </c>
      <c r="E142" s="13" t="s">
        <v>289</v>
      </c>
      <c r="F142" s="3">
        <f>Lab_CIE!P142</f>
        <v>29.2</v>
      </c>
      <c r="G142" s="3">
        <f>Lab_CIA!J142</f>
        <v>18.8</v>
      </c>
      <c r="H142" s="26">
        <f t="shared" si="2"/>
        <v>48</v>
      </c>
      <c r="P142" s="27"/>
    </row>
    <row r="143" ht="14.25" customHeight="1" spans="3:16">
      <c r="C143" s="25">
        <v>133</v>
      </c>
      <c r="D143" s="5" t="s">
        <v>290</v>
      </c>
      <c r="E143" s="13" t="s">
        <v>291</v>
      </c>
      <c r="F143" s="3">
        <f>Lab_CIE!P143</f>
        <v>0</v>
      </c>
      <c r="G143" s="3">
        <f>Lab_CIA!J143</f>
        <v>0</v>
      </c>
      <c r="H143" s="26">
        <f t="shared" si="2"/>
        <v>0</v>
      </c>
      <c r="P143" s="27"/>
    </row>
    <row r="144" ht="14.25" customHeight="1" spans="3:16">
      <c r="C144" s="25">
        <v>134</v>
      </c>
      <c r="D144" s="5" t="s">
        <v>292</v>
      </c>
      <c r="E144" s="13" t="s">
        <v>293</v>
      </c>
      <c r="F144" s="3">
        <f>Lab_CIE!P144</f>
        <v>27.6</v>
      </c>
      <c r="G144" s="3">
        <f>Lab_CIA!J144</f>
        <v>17.2</v>
      </c>
      <c r="H144" s="26">
        <f t="shared" si="2"/>
        <v>44.8</v>
      </c>
      <c r="P144" s="27"/>
    </row>
    <row r="145" ht="14.25" customHeight="1" spans="3:16">
      <c r="C145" s="25">
        <v>135</v>
      </c>
      <c r="D145" s="5" t="s">
        <v>295</v>
      </c>
      <c r="E145" s="13" t="s">
        <v>296</v>
      </c>
      <c r="F145" s="3">
        <f>Lab_CIE!P145</f>
        <v>28.2</v>
      </c>
      <c r="G145" s="3">
        <f>Lab_CIA!J145</f>
        <v>18.8</v>
      </c>
      <c r="H145" s="26">
        <f t="shared" si="2"/>
        <v>47</v>
      </c>
      <c r="P145" s="27"/>
    </row>
    <row r="146" ht="14.25" customHeight="1" spans="3:16">
      <c r="C146" s="25">
        <v>136</v>
      </c>
      <c r="D146" s="5" t="s">
        <v>297</v>
      </c>
      <c r="E146" s="13" t="s">
        <v>298</v>
      </c>
      <c r="F146" s="3">
        <f>Lab_CIE!P146</f>
        <v>28.1</v>
      </c>
      <c r="G146" s="3">
        <f>Lab_CIA!J146</f>
        <v>18</v>
      </c>
      <c r="H146" s="26">
        <f t="shared" si="2"/>
        <v>46.1</v>
      </c>
      <c r="P146" s="27"/>
    </row>
    <row r="147" ht="14.25" customHeight="1" spans="3:16">
      <c r="C147" s="25">
        <v>137</v>
      </c>
      <c r="D147" s="5" t="s">
        <v>299</v>
      </c>
      <c r="E147" s="13" t="s">
        <v>300</v>
      </c>
      <c r="F147" s="3">
        <f>Lab_CIE!P147</f>
        <v>29.4</v>
      </c>
      <c r="G147" s="3">
        <f>Lab_CIA!J147</f>
        <v>19.6</v>
      </c>
      <c r="H147" s="26">
        <f t="shared" si="2"/>
        <v>49</v>
      </c>
      <c r="P147" s="27"/>
    </row>
    <row r="148" ht="14.25" customHeight="1" spans="3:16">
      <c r="C148" s="25">
        <v>138</v>
      </c>
      <c r="D148" s="5" t="s">
        <v>301</v>
      </c>
      <c r="E148" s="13" t="s">
        <v>302</v>
      </c>
      <c r="F148" s="3">
        <f>Lab_CIE!P148</f>
        <v>29.6</v>
      </c>
      <c r="G148" s="3">
        <f>Lab_CIA!J148</f>
        <v>18.8</v>
      </c>
      <c r="H148" s="26">
        <f t="shared" si="2"/>
        <v>48.4</v>
      </c>
      <c r="P148" s="27"/>
    </row>
    <row r="149" ht="14.25" customHeight="1" spans="3:16">
      <c r="C149" s="25">
        <v>139</v>
      </c>
      <c r="D149" s="5" t="s">
        <v>303</v>
      </c>
      <c r="E149" s="13" t="s">
        <v>304</v>
      </c>
      <c r="F149" s="3">
        <f>Lab_CIE!P149</f>
        <v>28.4</v>
      </c>
      <c r="G149" s="3">
        <f>Lab_CIA!J149</f>
        <v>16.4</v>
      </c>
      <c r="H149" s="26">
        <f t="shared" si="2"/>
        <v>44.8</v>
      </c>
      <c r="P149" s="27"/>
    </row>
    <row r="150" ht="14.25" customHeight="1" spans="3:16">
      <c r="C150" s="25">
        <v>140</v>
      </c>
      <c r="D150" s="5" t="s">
        <v>305</v>
      </c>
      <c r="E150" s="13" t="s">
        <v>306</v>
      </c>
      <c r="F150" s="3">
        <f>Lab_CIE!P150</f>
        <v>29.5</v>
      </c>
      <c r="G150" s="3">
        <f>Lab_CIA!J150</f>
        <v>18</v>
      </c>
      <c r="H150" s="26">
        <f t="shared" si="2"/>
        <v>47.5</v>
      </c>
      <c r="P150" s="27"/>
    </row>
    <row r="151" ht="14.25" customHeight="1" spans="3:16">
      <c r="C151" s="25">
        <v>141</v>
      </c>
      <c r="D151" s="5" t="s">
        <v>307</v>
      </c>
      <c r="E151" s="13" t="s">
        <v>308</v>
      </c>
      <c r="F151" s="3">
        <f>Lab_CIE!P151</f>
        <v>29.3</v>
      </c>
      <c r="G151" s="3">
        <f>Lab_CIA!J151</f>
        <v>18</v>
      </c>
      <c r="H151" s="26">
        <f t="shared" si="2"/>
        <v>47.3</v>
      </c>
      <c r="P151" s="27"/>
    </row>
    <row r="152" ht="14.25" customHeight="1" spans="3:16">
      <c r="C152" s="25">
        <v>142</v>
      </c>
      <c r="D152" s="5" t="s">
        <v>309</v>
      </c>
      <c r="E152" s="13" t="s">
        <v>310</v>
      </c>
      <c r="F152" s="3">
        <f>Lab_CIE!P152</f>
        <v>29</v>
      </c>
      <c r="G152" s="3">
        <f>Lab_CIA!J152</f>
        <v>20</v>
      </c>
      <c r="H152" s="26">
        <f t="shared" si="2"/>
        <v>49</v>
      </c>
      <c r="P152" s="27"/>
    </row>
    <row r="153" ht="14.25" customHeight="1" spans="3:8">
      <c r="C153" s="25">
        <v>143</v>
      </c>
      <c r="D153" s="5" t="s">
        <v>311</v>
      </c>
      <c r="E153" s="13" t="s">
        <v>312</v>
      </c>
      <c r="F153" s="3">
        <f>Lab_CIE!P153</f>
        <v>28.4</v>
      </c>
      <c r="G153" s="3">
        <f>Lab_CIA!J153</f>
        <v>17.6</v>
      </c>
      <c r="H153" s="26">
        <f t="shared" si="2"/>
        <v>46</v>
      </c>
    </row>
    <row r="154" ht="14.25" customHeight="1" spans="3:8">
      <c r="C154" s="25">
        <v>144</v>
      </c>
      <c r="D154" s="5" t="s">
        <v>313</v>
      </c>
      <c r="E154" s="13" t="s">
        <v>314</v>
      </c>
      <c r="F154" s="3">
        <f>Lab_CIE!P154</f>
        <v>28.1</v>
      </c>
      <c r="G154" s="3">
        <f>Lab_CIA!J154</f>
        <v>18.4</v>
      </c>
      <c r="H154" s="26">
        <f t="shared" si="2"/>
        <v>46.5</v>
      </c>
    </row>
    <row r="155" ht="14.25" customHeight="1" spans="3:8">
      <c r="C155" s="25">
        <v>145</v>
      </c>
      <c r="D155" s="5" t="s">
        <v>315</v>
      </c>
      <c r="E155" s="13" t="s">
        <v>316</v>
      </c>
      <c r="F155" s="3">
        <f>Lab_CIE!P155</f>
        <v>28.6</v>
      </c>
      <c r="G155" s="3">
        <f>Lab_CIA!J155</f>
        <v>18</v>
      </c>
      <c r="H155" s="26">
        <f t="shared" si="2"/>
        <v>46.6</v>
      </c>
    </row>
    <row r="156" ht="14.25" customHeight="1" spans="3:8">
      <c r="C156" s="25">
        <v>146</v>
      </c>
      <c r="D156" s="5" t="s">
        <v>317</v>
      </c>
      <c r="E156" s="13" t="s">
        <v>318</v>
      </c>
      <c r="F156" s="3">
        <f>Lab_CIE!P156</f>
        <v>28.6</v>
      </c>
      <c r="G156" s="3">
        <f>Lab_CIA!J156</f>
        <v>16</v>
      </c>
      <c r="H156" s="26">
        <f t="shared" si="2"/>
        <v>44.6</v>
      </c>
    </row>
    <row r="157" ht="14.25" customHeight="1" spans="3:8">
      <c r="C157" s="25">
        <v>147</v>
      </c>
      <c r="D157" s="5" t="s">
        <v>319</v>
      </c>
      <c r="E157" s="13" t="s">
        <v>320</v>
      </c>
      <c r="F157" s="3">
        <f>Lab_CIE!P157</f>
        <v>28.4</v>
      </c>
      <c r="G157" s="3">
        <f>Lab_CIA!J157</f>
        <v>16.8</v>
      </c>
      <c r="H157" s="26">
        <f t="shared" si="2"/>
        <v>45.2</v>
      </c>
    </row>
    <row r="158" ht="14.25" customHeight="1" spans="3:8">
      <c r="C158" s="25">
        <v>148</v>
      </c>
      <c r="D158" s="5" t="s">
        <v>321</v>
      </c>
      <c r="E158" s="13" t="s">
        <v>322</v>
      </c>
      <c r="F158" s="3">
        <f>Lab_CIE!P158</f>
        <v>28.9</v>
      </c>
      <c r="G158" s="3">
        <f>Lab_CIA!J158</f>
        <v>17.6</v>
      </c>
      <c r="H158" s="26">
        <f t="shared" si="2"/>
        <v>46.5</v>
      </c>
    </row>
    <row r="159" ht="14.25" customHeight="1" spans="3:8">
      <c r="C159" s="25">
        <v>149</v>
      </c>
      <c r="D159" s="5" t="s">
        <v>323</v>
      </c>
      <c r="E159" s="13" t="s">
        <v>324</v>
      </c>
      <c r="F159" s="3">
        <f>Lab_CIE!P159</f>
        <v>29.1</v>
      </c>
      <c r="G159" s="3">
        <f>Lab_CIA!J159</f>
        <v>17.6</v>
      </c>
      <c r="H159" s="26">
        <f t="shared" si="2"/>
        <v>46.7</v>
      </c>
    </row>
    <row r="160" ht="14.25" customHeight="1" spans="3:8">
      <c r="C160" s="25">
        <v>150</v>
      </c>
      <c r="D160" s="5" t="s">
        <v>325</v>
      </c>
      <c r="E160" s="13" t="s">
        <v>326</v>
      </c>
      <c r="F160" s="3">
        <f>Lab_CIE!P160</f>
        <v>28.7</v>
      </c>
      <c r="G160" s="3">
        <f>Lab_CIA!J160</f>
        <v>18</v>
      </c>
      <c r="H160" s="26">
        <f t="shared" si="2"/>
        <v>46.7</v>
      </c>
    </row>
    <row r="161" ht="14.25" customHeight="1" spans="3:8">
      <c r="C161" s="25">
        <v>151</v>
      </c>
      <c r="D161" s="5" t="s">
        <v>327</v>
      </c>
      <c r="E161" s="13" t="s">
        <v>328</v>
      </c>
      <c r="F161" s="3">
        <f>Lab_CIE!P161</f>
        <v>27.2</v>
      </c>
      <c r="G161" s="3">
        <f>Lab_CIA!J161</f>
        <v>16.8</v>
      </c>
      <c r="H161" s="26">
        <f t="shared" si="2"/>
        <v>44</v>
      </c>
    </row>
    <row r="162" ht="14.25" customHeight="1" spans="3:8">
      <c r="C162" s="25">
        <v>152</v>
      </c>
      <c r="D162" s="5" t="s">
        <v>329</v>
      </c>
      <c r="E162" s="13" t="s">
        <v>330</v>
      </c>
      <c r="F162" s="3">
        <f>Lab_CIE!P162</f>
        <v>28.7</v>
      </c>
      <c r="G162" s="3">
        <f>Lab_CIA!J162</f>
        <v>16.4</v>
      </c>
      <c r="H162" s="26">
        <f t="shared" si="2"/>
        <v>45.1</v>
      </c>
    </row>
    <row r="163" ht="14.25" customHeight="1" spans="3:8">
      <c r="C163" s="25">
        <v>153</v>
      </c>
      <c r="D163" s="5" t="s">
        <v>331</v>
      </c>
      <c r="E163" s="13" t="s">
        <v>332</v>
      </c>
      <c r="F163" s="3">
        <f>Lab_CIE!P163</f>
        <v>28.5</v>
      </c>
      <c r="G163" s="3">
        <f>Lab_CIA!J163</f>
        <v>15.6</v>
      </c>
      <c r="H163" s="26">
        <f t="shared" si="2"/>
        <v>44.1</v>
      </c>
    </row>
    <row r="164" ht="14.25" customHeight="1" spans="3:8">
      <c r="C164" s="25">
        <v>154</v>
      </c>
      <c r="D164" s="5" t="s">
        <v>333</v>
      </c>
      <c r="E164" s="13" t="s">
        <v>334</v>
      </c>
      <c r="F164" s="3">
        <f>Lab_CIE!P164</f>
        <v>28</v>
      </c>
      <c r="G164" s="3">
        <f>Lab_CIA!J164</f>
        <v>16.8</v>
      </c>
      <c r="H164" s="26">
        <f t="shared" si="2"/>
        <v>44.8</v>
      </c>
    </row>
    <row r="165" ht="14.25" customHeight="1" spans="3:8">
      <c r="C165" s="25">
        <v>155</v>
      </c>
      <c r="D165" s="5" t="s">
        <v>335</v>
      </c>
      <c r="E165" s="13" t="s">
        <v>336</v>
      </c>
      <c r="F165" s="3">
        <f>Lab_CIE!P165</f>
        <v>28</v>
      </c>
      <c r="G165" s="3">
        <f>Lab_CIA!J165</f>
        <v>16.8</v>
      </c>
      <c r="H165" s="26">
        <f t="shared" si="2"/>
        <v>44.8</v>
      </c>
    </row>
    <row r="166" ht="14.25" customHeight="1" spans="3:8">
      <c r="C166" s="25">
        <v>156</v>
      </c>
      <c r="D166" s="5" t="s">
        <v>337</v>
      </c>
      <c r="E166" s="13" t="s">
        <v>338</v>
      </c>
      <c r="F166" s="3">
        <f>Lab_CIE!P166</f>
        <v>28.4</v>
      </c>
      <c r="G166" s="3">
        <f>Lab_CIA!J166</f>
        <v>19.6</v>
      </c>
      <c r="H166" s="26">
        <f t="shared" si="2"/>
        <v>48</v>
      </c>
    </row>
    <row r="167" ht="14.25" customHeight="1" spans="3:8">
      <c r="C167" s="25">
        <v>157</v>
      </c>
      <c r="D167" s="5" t="s">
        <v>339</v>
      </c>
      <c r="E167" s="13" t="s">
        <v>340</v>
      </c>
      <c r="F167" s="3">
        <f>Lab_CIE!P167</f>
        <v>29</v>
      </c>
      <c r="G167" s="3">
        <f>Lab_CIA!J167</f>
        <v>18</v>
      </c>
      <c r="H167" s="26">
        <f t="shared" si="2"/>
        <v>47</v>
      </c>
    </row>
    <row r="168" ht="14.25" customHeight="1" spans="3:8">
      <c r="C168" s="25">
        <v>158</v>
      </c>
      <c r="D168" s="5" t="s">
        <v>341</v>
      </c>
      <c r="E168" s="13" t="s">
        <v>342</v>
      </c>
      <c r="F168" s="3">
        <f>Lab_CIE!P168</f>
        <v>28.5</v>
      </c>
      <c r="G168" s="3">
        <f>Lab_CIA!J168</f>
        <v>16.4</v>
      </c>
      <c r="H168" s="26">
        <f t="shared" si="2"/>
        <v>44.9</v>
      </c>
    </row>
    <row r="169" ht="14.25" customHeight="1" spans="3:8">
      <c r="C169" s="25">
        <v>159</v>
      </c>
      <c r="D169" s="5" t="s">
        <v>343</v>
      </c>
      <c r="E169" s="13" t="s">
        <v>344</v>
      </c>
      <c r="F169" s="3">
        <f>Lab_CIE!P169</f>
        <v>27.9</v>
      </c>
      <c r="G169" s="3">
        <f>Lab_CIA!J169</f>
        <v>15.2</v>
      </c>
      <c r="H169" s="26">
        <f t="shared" si="2"/>
        <v>43.1</v>
      </c>
    </row>
    <row r="170" ht="14.25" customHeight="1" spans="3:8">
      <c r="C170" s="25">
        <v>160</v>
      </c>
      <c r="D170" s="5" t="s">
        <v>345</v>
      </c>
      <c r="E170" s="13" t="s">
        <v>346</v>
      </c>
      <c r="F170" s="3">
        <f>Lab_CIE!P170</f>
        <v>27.9</v>
      </c>
      <c r="G170" s="3">
        <f>Lab_CIA!J170</f>
        <v>16.8</v>
      </c>
      <c r="H170" s="26">
        <f t="shared" si="2"/>
        <v>44.7</v>
      </c>
    </row>
    <row r="171" ht="14.25" customHeight="1" spans="3:8">
      <c r="C171" s="25">
        <v>161</v>
      </c>
      <c r="D171" s="5" t="s">
        <v>347</v>
      </c>
      <c r="E171" s="13" t="s">
        <v>348</v>
      </c>
      <c r="F171" s="3">
        <f>Lab_CIE!P171</f>
        <v>28.3</v>
      </c>
      <c r="G171" s="3">
        <f>Lab_CIA!J171</f>
        <v>16.8</v>
      </c>
      <c r="H171" s="26">
        <f t="shared" si="2"/>
        <v>45.1</v>
      </c>
    </row>
    <row r="172" ht="14.25" customHeight="1" spans="3:8">
      <c r="C172" s="25">
        <v>162</v>
      </c>
      <c r="D172" s="5" t="s">
        <v>349</v>
      </c>
      <c r="E172" s="13" t="s">
        <v>350</v>
      </c>
      <c r="F172" s="3">
        <f>Lab_CIE!P172</f>
        <v>28.1</v>
      </c>
      <c r="G172" s="3">
        <f>Lab_CIA!J172</f>
        <v>19.6</v>
      </c>
      <c r="H172" s="26">
        <f t="shared" si="2"/>
        <v>47.7</v>
      </c>
    </row>
    <row r="173" ht="14.25" customHeight="1" spans="3:8">
      <c r="C173" s="25">
        <v>163</v>
      </c>
      <c r="D173" s="5" t="s">
        <v>351</v>
      </c>
      <c r="E173" s="13" t="s">
        <v>352</v>
      </c>
      <c r="F173" s="3">
        <f>Lab_CIE!P173</f>
        <v>28.3</v>
      </c>
      <c r="G173" s="3">
        <f>Lab_CIA!J173</f>
        <v>18</v>
      </c>
      <c r="H173" s="26">
        <f t="shared" si="2"/>
        <v>46.3</v>
      </c>
    </row>
    <row r="174" ht="14.25" customHeight="1" spans="3:8">
      <c r="C174" s="25">
        <v>164</v>
      </c>
      <c r="D174" s="5" t="s">
        <v>353</v>
      </c>
      <c r="E174" s="13" t="s">
        <v>354</v>
      </c>
      <c r="F174" s="3">
        <f>Lab_CIE!P174</f>
        <v>27.4</v>
      </c>
      <c r="G174" s="3">
        <f>Lab_CIA!J174</f>
        <v>18</v>
      </c>
      <c r="H174" s="26">
        <f t="shared" si="2"/>
        <v>45.4</v>
      </c>
    </row>
    <row r="175" ht="14.25" customHeight="1" spans="3:8">
      <c r="C175" s="25">
        <v>165</v>
      </c>
      <c r="D175" s="5" t="s">
        <v>355</v>
      </c>
      <c r="E175" s="13" t="s">
        <v>356</v>
      </c>
      <c r="F175" s="3">
        <f>Lab_CIE!P175</f>
        <v>29.2</v>
      </c>
      <c r="G175" s="3">
        <f>Lab_CIA!J175</f>
        <v>18.8</v>
      </c>
      <c r="H175" s="26">
        <f t="shared" si="2"/>
        <v>48</v>
      </c>
    </row>
    <row r="176" ht="14.25" customHeight="1" spans="3:8">
      <c r="C176" s="25">
        <v>166</v>
      </c>
      <c r="D176" s="5" t="s">
        <v>357</v>
      </c>
      <c r="E176" s="13" t="s">
        <v>358</v>
      </c>
      <c r="F176" s="3">
        <f>Lab_CIE!P176</f>
        <v>28.3</v>
      </c>
      <c r="G176" s="3">
        <f>Lab_CIA!J176</f>
        <v>19.6</v>
      </c>
      <c r="H176" s="26">
        <f t="shared" si="2"/>
        <v>47.9</v>
      </c>
    </row>
    <row r="177" ht="14.25" customHeight="1" spans="3:8">
      <c r="C177" s="25">
        <v>167</v>
      </c>
      <c r="D177" s="5" t="s">
        <v>359</v>
      </c>
      <c r="E177" s="13" t="s">
        <v>360</v>
      </c>
      <c r="F177" s="3">
        <f>Lab_CIE!P177</f>
        <v>29.6</v>
      </c>
      <c r="G177" s="3">
        <f>Lab_CIA!J177</f>
        <v>20</v>
      </c>
      <c r="H177" s="26">
        <f t="shared" si="2"/>
        <v>49.6</v>
      </c>
    </row>
    <row r="178" ht="14.25" customHeight="1" spans="3:8">
      <c r="C178" s="25">
        <v>168</v>
      </c>
      <c r="D178" s="5" t="s">
        <v>361</v>
      </c>
      <c r="E178" s="13" t="s">
        <v>362</v>
      </c>
      <c r="F178" s="3">
        <f>Lab_CIE!P178</f>
        <v>28.8</v>
      </c>
      <c r="G178" s="3">
        <f>Lab_CIA!J178</f>
        <v>18</v>
      </c>
      <c r="H178" s="26">
        <f t="shared" si="2"/>
        <v>46.8</v>
      </c>
    </row>
    <row r="179" ht="14.25" customHeight="1" spans="3:8">
      <c r="C179" s="25">
        <v>169</v>
      </c>
      <c r="D179" s="5" t="s">
        <v>363</v>
      </c>
      <c r="E179" s="13" t="s">
        <v>364</v>
      </c>
      <c r="F179" s="3">
        <f>Lab_CIE!P179</f>
        <v>27.4</v>
      </c>
      <c r="G179" s="3">
        <f>Lab_CIA!J179</f>
        <v>14.4</v>
      </c>
      <c r="H179" s="26">
        <f t="shared" si="2"/>
        <v>41.8</v>
      </c>
    </row>
    <row r="180" ht="14.25" customHeight="1" spans="3:8">
      <c r="C180" s="25">
        <v>170</v>
      </c>
      <c r="D180" s="5" t="s">
        <v>365</v>
      </c>
      <c r="E180" s="13" t="s">
        <v>366</v>
      </c>
      <c r="F180" s="3">
        <f>Lab_CIE!P180</f>
        <v>28.3</v>
      </c>
      <c r="G180" s="3">
        <f>Lab_CIA!J180</f>
        <v>17.2</v>
      </c>
      <c r="H180" s="26">
        <f t="shared" si="2"/>
        <v>45.5</v>
      </c>
    </row>
    <row r="181" ht="14.25" customHeight="1" spans="3:8">
      <c r="C181" s="25">
        <v>171</v>
      </c>
      <c r="D181" s="5" t="s">
        <v>367</v>
      </c>
      <c r="E181" s="13" t="s">
        <v>368</v>
      </c>
      <c r="F181" s="3">
        <f>Lab_CIE!P181</f>
        <v>28.8</v>
      </c>
      <c r="G181" s="3">
        <f>Lab_CIA!J181</f>
        <v>17.2</v>
      </c>
      <c r="H181" s="26">
        <f t="shared" si="2"/>
        <v>46</v>
      </c>
    </row>
    <row r="182" ht="14.25" customHeight="1" spans="3:8">
      <c r="C182" s="25">
        <v>172</v>
      </c>
      <c r="D182" s="5" t="s">
        <v>369</v>
      </c>
      <c r="E182" s="13" t="s">
        <v>370</v>
      </c>
      <c r="F182" s="3">
        <f>Lab_CIE!P182</f>
        <v>27.5</v>
      </c>
      <c r="G182" s="3">
        <f>Lab_CIA!J182</f>
        <v>14.8</v>
      </c>
      <c r="H182" s="26">
        <f t="shared" si="2"/>
        <v>42.3</v>
      </c>
    </row>
    <row r="183" ht="14.25" customHeight="1" spans="3:8">
      <c r="C183" s="25">
        <v>173</v>
      </c>
      <c r="D183" s="5" t="s">
        <v>371</v>
      </c>
      <c r="E183" s="13" t="s">
        <v>372</v>
      </c>
      <c r="F183" s="3">
        <f>Lab_CIE!P183</f>
        <v>27.6</v>
      </c>
      <c r="G183" s="3">
        <f>Lab_CIA!J183</f>
        <v>17.2</v>
      </c>
      <c r="H183" s="26">
        <f t="shared" si="2"/>
        <v>44.8</v>
      </c>
    </row>
    <row r="184" ht="14.25" customHeight="1" spans="3:8">
      <c r="C184" s="25">
        <v>174</v>
      </c>
      <c r="D184" s="5" t="s">
        <v>373</v>
      </c>
      <c r="E184" s="13" t="s">
        <v>374</v>
      </c>
      <c r="F184" s="3">
        <f>Lab_CIE!P184</f>
        <v>27.2</v>
      </c>
      <c r="G184" s="3">
        <f>Lab_CIA!J184</f>
        <v>16.4</v>
      </c>
      <c r="H184" s="26">
        <f t="shared" si="2"/>
        <v>43.6</v>
      </c>
    </row>
    <row r="185" ht="14.25" customHeight="1" spans="3:8">
      <c r="C185" s="25">
        <v>175</v>
      </c>
      <c r="D185" s="5" t="s">
        <v>375</v>
      </c>
      <c r="E185" s="13" t="s">
        <v>376</v>
      </c>
      <c r="F185" s="3">
        <f>Lab_CIE!P185</f>
        <v>26.7</v>
      </c>
      <c r="G185" s="3">
        <f>Lab_CIA!J185</f>
        <v>16</v>
      </c>
      <c r="H185" s="26">
        <f t="shared" si="2"/>
        <v>42.7</v>
      </c>
    </row>
    <row r="186" ht="14.25" customHeight="1" spans="3:8">
      <c r="C186" s="25">
        <v>176</v>
      </c>
      <c r="D186" s="5" t="s">
        <v>377</v>
      </c>
      <c r="E186" s="13" t="s">
        <v>378</v>
      </c>
      <c r="F186" s="3">
        <f>Lab_CIE!P186</f>
        <v>27.5</v>
      </c>
      <c r="G186" s="3">
        <f>Lab_CIA!J186</f>
        <v>18</v>
      </c>
      <c r="H186" s="26">
        <f t="shared" si="2"/>
        <v>45.5</v>
      </c>
    </row>
    <row r="187" ht="14.25" customHeight="1" spans="3:8">
      <c r="C187" s="25">
        <v>177</v>
      </c>
      <c r="D187" s="5" t="s">
        <v>379</v>
      </c>
      <c r="E187" s="13" t="s">
        <v>380</v>
      </c>
      <c r="F187" s="3">
        <f>Lab_CIE!P187</f>
        <v>28.9</v>
      </c>
      <c r="G187" s="3">
        <f>Lab_CIA!J187</f>
        <v>18.8</v>
      </c>
      <c r="H187" s="26">
        <f t="shared" si="2"/>
        <v>47.7</v>
      </c>
    </row>
    <row r="188" ht="14.25" customHeight="1" spans="3:8">
      <c r="C188" s="25">
        <v>178</v>
      </c>
      <c r="D188" s="5" t="s">
        <v>381</v>
      </c>
      <c r="E188" s="13" t="s">
        <v>382</v>
      </c>
      <c r="F188" s="3">
        <f>Lab_CIE!P188</f>
        <v>28.6</v>
      </c>
      <c r="G188" s="3">
        <f>Lab_CIA!J188</f>
        <v>17.6</v>
      </c>
      <c r="H188" s="26">
        <f t="shared" si="2"/>
        <v>46.2</v>
      </c>
    </row>
    <row r="189" ht="14.25" customHeight="1" spans="3:8">
      <c r="C189" s="25">
        <v>179</v>
      </c>
      <c r="D189" s="5" t="s">
        <v>383</v>
      </c>
      <c r="E189" s="13" t="s">
        <v>384</v>
      </c>
      <c r="F189" s="3">
        <f>Lab_CIE!P189</f>
        <v>27.3</v>
      </c>
      <c r="G189" s="3">
        <f>Lab_CIA!J189</f>
        <v>17.2</v>
      </c>
      <c r="H189" s="26">
        <f t="shared" si="2"/>
        <v>44.5</v>
      </c>
    </row>
    <row r="190" ht="14.25" customHeight="1" spans="3:8">
      <c r="C190" s="25">
        <v>180</v>
      </c>
      <c r="D190" s="5" t="s">
        <v>385</v>
      </c>
      <c r="E190" s="13" t="s">
        <v>386</v>
      </c>
      <c r="F190" s="3">
        <f>Lab_CIE!P190</f>
        <v>28.9</v>
      </c>
      <c r="G190" s="3">
        <f>Lab_CIA!J190</f>
        <v>18.4</v>
      </c>
      <c r="H190" s="26">
        <f t="shared" si="2"/>
        <v>47.3</v>
      </c>
    </row>
    <row r="191" ht="14.25" customHeight="1" spans="3:8">
      <c r="C191" s="25">
        <v>181</v>
      </c>
      <c r="D191" s="5" t="s">
        <v>387</v>
      </c>
      <c r="E191" s="13" t="s">
        <v>388</v>
      </c>
      <c r="F191" s="3">
        <f>Lab_CIE!P191</f>
        <v>28.9</v>
      </c>
      <c r="G191" s="3">
        <f>Lab_CIA!J191</f>
        <v>16</v>
      </c>
      <c r="H191" s="26">
        <f t="shared" si="2"/>
        <v>44.9</v>
      </c>
    </row>
    <row r="192" ht="14.25" customHeight="1" spans="3:8">
      <c r="C192" s="25">
        <v>182</v>
      </c>
      <c r="D192" s="5" t="s">
        <v>389</v>
      </c>
      <c r="E192" s="13" t="s">
        <v>390</v>
      </c>
      <c r="F192" s="3">
        <f>Lab_CIE!P192</f>
        <v>28.3</v>
      </c>
      <c r="G192" s="3">
        <f>Lab_CIA!J192</f>
        <v>17.2</v>
      </c>
      <c r="H192" s="26">
        <f t="shared" si="2"/>
        <v>45.5</v>
      </c>
    </row>
    <row r="193" ht="14.25" customHeight="1" spans="3:8">
      <c r="C193" s="25">
        <v>183</v>
      </c>
      <c r="D193" s="5" t="s">
        <v>391</v>
      </c>
      <c r="E193" s="13" t="s">
        <v>392</v>
      </c>
      <c r="F193" s="3">
        <f>Lab_CIE!P193</f>
        <v>27.7</v>
      </c>
      <c r="G193" s="3">
        <f>Lab_CIA!J193</f>
        <v>17.2</v>
      </c>
      <c r="H193" s="26">
        <f t="shared" si="2"/>
        <v>44.9</v>
      </c>
    </row>
    <row r="194" ht="14.25" customHeight="1" spans="3:8">
      <c r="C194" s="25">
        <v>184</v>
      </c>
      <c r="D194" s="5" t="s">
        <v>393</v>
      </c>
      <c r="E194" s="13" t="s">
        <v>394</v>
      </c>
      <c r="F194" s="3">
        <f>Lab_CIE!P194</f>
        <v>28.4</v>
      </c>
      <c r="G194" s="3">
        <f>Lab_CIA!J194</f>
        <v>16.4</v>
      </c>
      <c r="H194" s="26">
        <f t="shared" si="2"/>
        <v>44.8</v>
      </c>
    </row>
    <row r="195" ht="14.25" customHeight="1" spans="3:8">
      <c r="C195" s="25">
        <v>185</v>
      </c>
      <c r="D195" s="5" t="s">
        <v>395</v>
      </c>
      <c r="E195" s="13" t="s">
        <v>396</v>
      </c>
      <c r="F195" s="3">
        <f>Lab_CIE!P195</f>
        <v>28.7</v>
      </c>
      <c r="G195" s="3">
        <f>Lab_CIA!J195</f>
        <v>19.6</v>
      </c>
      <c r="H195" s="26">
        <f t="shared" si="2"/>
        <v>48.3</v>
      </c>
    </row>
    <row r="196" ht="14.25" customHeight="1" spans="3:8">
      <c r="C196" s="25">
        <v>186</v>
      </c>
      <c r="D196" s="5" t="s">
        <v>397</v>
      </c>
      <c r="E196" s="13" t="s">
        <v>398</v>
      </c>
      <c r="F196" s="3">
        <f>Lab_CIE!P196</f>
        <v>27.4</v>
      </c>
      <c r="G196" s="3">
        <f>Lab_CIA!J196</f>
        <v>16</v>
      </c>
      <c r="H196" s="26">
        <f t="shared" si="2"/>
        <v>43.4</v>
      </c>
    </row>
    <row r="197" ht="14.25" customHeight="1" spans="3:8">
      <c r="C197" s="25">
        <v>187</v>
      </c>
      <c r="D197" s="5" t="s">
        <v>399</v>
      </c>
      <c r="E197" s="13" t="s">
        <v>400</v>
      </c>
      <c r="F197" s="3">
        <f>Lab_CIE!P197</f>
        <v>27.4</v>
      </c>
      <c r="G197" s="3">
        <f>Lab_CIA!J197</f>
        <v>18</v>
      </c>
      <c r="H197" s="26">
        <f t="shared" si="2"/>
        <v>45.4</v>
      </c>
    </row>
    <row r="198" ht="14.25" customHeight="1" spans="3:8">
      <c r="C198" s="25">
        <v>188</v>
      </c>
      <c r="D198" s="5" t="s">
        <v>401</v>
      </c>
      <c r="E198" s="13" t="s">
        <v>402</v>
      </c>
      <c r="F198" s="3">
        <f>Lab_CIE!P198</f>
        <v>26.5</v>
      </c>
      <c r="G198" s="3">
        <f>Lab_CIA!J198</f>
        <v>14.8</v>
      </c>
      <c r="H198" s="26">
        <f t="shared" si="2"/>
        <v>41.3</v>
      </c>
    </row>
    <row r="199" ht="14.25" customHeight="1" spans="3:8">
      <c r="C199" s="25">
        <v>189</v>
      </c>
      <c r="D199" s="5" t="s">
        <v>403</v>
      </c>
      <c r="E199" s="13" t="s">
        <v>404</v>
      </c>
      <c r="F199" s="3">
        <f>Lab_CIE!P199</f>
        <v>27.8</v>
      </c>
      <c r="G199" s="3">
        <f>Lab_CIA!J199</f>
        <v>17.2</v>
      </c>
      <c r="H199" s="26">
        <f t="shared" si="2"/>
        <v>45</v>
      </c>
    </row>
    <row r="200" ht="14.25" customHeight="1" spans="3:8">
      <c r="C200" s="25">
        <v>190</v>
      </c>
      <c r="D200" s="4" t="s">
        <v>405</v>
      </c>
      <c r="E200" s="14" t="s">
        <v>406</v>
      </c>
      <c r="F200" s="3">
        <f>Lab_CIE!P200</f>
        <v>29.2</v>
      </c>
      <c r="G200" s="3">
        <f>Lab_CIA!J200</f>
        <v>18.4</v>
      </c>
      <c r="H200" s="26">
        <f t="shared" si="2"/>
        <v>47.6</v>
      </c>
    </row>
    <row r="201" ht="14.25" customHeight="1" spans="3:8">
      <c r="C201" s="25">
        <v>191</v>
      </c>
      <c r="D201" s="4" t="s">
        <v>407</v>
      </c>
      <c r="E201" s="14" t="s">
        <v>408</v>
      </c>
      <c r="F201" s="3">
        <f>Lab_CIE!P201</f>
        <v>29.2</v>
      </c>
      <c r="G201" s="3">
        <f>Lab_CIA!J201</f>
        <v>18.4</v>
      </c>
      <c r="H201" s="26">
        <f t="shared" si="2"/>
        <v>47.6</v>
      </c>
    </row>
    <row r="202" ht="14.25" customHeight="1" spans="3:8">
      <c r="C202" s="12">
        <v>192</v>
      </c>
      <c r="D202" s="4" t="s">
        <v>409</v>
      </c>
      <c r="E202" s="14" t="s">
        <v>410</v>
      </c>
      <c r="F202" s="3">
        <f>Lab_CIE!P202</f>
        <v>27.2</v>
      </c>
      <c r="G202" s="3">
        <f>Lab_CIA!J202</f>
        <v>17.2</v>
      </c>
      <c r="H202" s="26">
        <f t="shared" si="2"/>
        <v>44.4</v>
      </c>
    </row>
    <row r="203" ht="14.25" customHeight="1" spans="3:8">
      <c r="C203" s="12">
        <v>193</v>
      </c>
      <c r="D203" s="4" t="s">
        <v>411</v>
      </c>
      <c r="E203" s="14" t="s">
        <v>412</v>
      </c>
      <c r="F203" s="3">
        <f>Lab_CIE!P203</f>
        <v>29</v>
      </c>
      <c r="G203" s="3">
        <f>Lab_CIA!J203</f>
        <v>17.6</v>
      </c>
      <c r="H203" s="26">
        <f t="shared" si="2"/>
        <v>46.6</v>
      </c>
    </row>
    <row r="204" ht="14.25" customHeight="1" spans="3:8">
      <c r="C204" s="12">
        <v>194</v>
      </c>
      <c r="D204" s="4" t="s">
        <v>413</v>
      </c>
      <c r="E204" s="14" t="s">
        <v>414</v>
      </c>
      <c r="F204" s="3">
        <f>Lab_CIE!P204</f>
        <v>27.1</v>
      </c>
      <c r="G204" s="3">
        <f>Lab_CIA!J204</f>
        <v>16</v>
      </c>
      <c r="H204" s="26">
        <f t="shared" ref="H204:H217" si="3">F204+G204</f>
        <v>43.1</v>
      </c>
    </row>
    <row r="205" ht="14.25" customHeight="1" spans="3:8">
      <c r="C205" s="12">
        <v>195</v>
      </c>
      <c r="D205" s="4" t="s">
        <v>415</v>
      </c>
      <c r="E205" s="14" t="s">
        <v>416</v>
      </c>
      <c r="F205" s="3">
        <f>Lab_CIE!P205</f>
        <v>28.9</v>
      </c>
      <c r="G205" s="3">
        <f>Lab_CIA!J205</f>
        <v>17.6</v>
      </c>
      <c r="H205" s="26">
        <f t="shared" si="3"/>
        <v>46.5</v>
      </c>
    </row>
    <row r="206" ht="14.25" customHeight="1" spans="3:8">
      <c r="C206" s="12">
        <v>196</v>
      </c>
      <c r="D206" s="4" t="s">
        <v>417</v>
      </c>
      <c r="E206" s="14" t="s">
        <v>418</v>
      </c>
      <c r="F206" s="3">
        <f>Lab_CIE!P206</f>
        <v>29.6</v>
      </c>
      <c r="G206" s="3">
        <f>Lab_CIA!J206</f>
        <v>16.4</v>
      </c>
      <c r="H206" s="26">
        <f t="shared" si="3"/>
        <v>46</v>
      </c>
    </row>
    <row r="207" ht="14.25" customHeight="1" spans="3:8">
      <c r="C207" s="12">
        <v>197</v>
      </c>
      <c r="D207" s="4" t="s">
        <v>419</v>
      </c>
      <c r="E207" s="14" t="s">
        <v>420</v>
      </c>
      <c r="F207" s="3">
        <f>Lab_CIE!P207</f>
        <v>29.3</v>
      </c>
      <c r="G207" s="3">
        <f>Lab_CIA!J207</f>
        <v>19.2</v>
      </c>
      <c r="H207" s="26">
        <f t="shared" si="3"/>
        <v>48.5</v>
      </c>
    </row>
    <row r="208" ht="14.25" customHeight="1" spans="3:8">
      <c r="C208" s="12">
        <v>198</v>
      </c>
      <c r="D208" s="4" t="s">
        <v>421</v>
      </c>
      <c r="E208" s="14" t="s">
        <v>422</v>
      </c>
      <c r="F208" s="3">
        <f>Lab_CIE!P208</f>
        <v>26.6</v>
      </c>
      <c r="G208" s="3">
        <f>Lab_CIA!J208</f>
        <v>17.2</v>
      </c>
      <c r="H208" s="26">
        <f t="shared" si="3"/>
        <v>43.8</v>
      </c>
    </row>
    <row r="209" ht="14.25" customHeight="1" spans="3:8">
      <c r="C209" s="12">
        <v>199</v>
      </c>
      <c r="D209" s="4" t="s">
        <v>423</v>
      </c>
      <c r="E209" s="14" t="s">
        <v>424</v>
      </c>
      <c r="F209" s="3">
        <f>Lab_CIE!P209</f>
        <v>26.1</v>
      </c>
      <c r="G209" s="3">
        <f>Lab_CIA!J209</f>
        <v>17.6</v>
      </c>
      <c r="H209" s="26">
        <f t="shared" si="3"/>
        <v>43.7</v>
      </c>
    </row>
    <row r="210" ht="14.25" customHeight="1" spans="3:8">
      <c r="C210" s="12">
        <v>200</v>
      </c>
      <c r="D210" s="4" t="s">
        <v>425</v>
      </c>
      <c r="E210" s="14" t="s">
        <v>426</v>
      </c>
      <c r="F210" s="3">
        <f>Lab_CIE!P210</f>
        <v>28.2</v>
      </c>
      <c r="G210" s="3">
        <f>Lab_CIA!J210</f>
        <v>18.4</v>
      </c>
      <c r="H210" s="26">
        <f t="shared" si="3"/>
        <v>46.6</v>
      </c>
    </row>
    <row r="211" ht="14.25" customHeight="1" spans="3:8">
      <c r="C211" s="12">
        <v>201</v>
      </c>
      <c r="D211" s="4" t="s">
        <v>427</v>
      </c>
      <c r="E211" s="14" t="s">
        <v>428</v>
      </c>
      <c r="F211" s="3">
        <f>Lab_CIE!P211</f>
        <v>29.4</v>
      </c>
      <c r="G211" s="3">
        <f>Lab_CIA!J211</f>
        <v>18</v>
      </c>
      <c r="H211" s="26">
        <f t="shared" si="3"/>
        <v>47.4</v>
      </c>
    </row>
    <row r="212" ht="14.25" customHeight="1" spans="3:8">
      <c r="C212" s="12">
        <v>202</v>
      </c>
      <c r="D212" s="4" t="s">
        <v>429</v>
      </c>
      <c r="E212" s="14" t="s">
        <v>430</v>
      </c>
      <c r="F212" s="3">
        <f>Lab_CIE!P212</f>
        <v>29.4</v>
      </c>
      <c r="G212" s="3">
        <f>Lab_CIA!J212</f>
        <v>16.4</v>
      </c>
      <c r="H212" s="26">
        <f t="shared" si="3"/>
        <v>45.8</v>
      </c>
    </row>
    <row r="213" ht="14.25" customHeight="1" spans="3:8">
      <c r="C213" s="12">
        <v>203</v>
      </c>
      <c r="D213" s="4" t="s">
        <v>431</v>
      </c>
      <c r="E213" s="14" t="s">
        <v>432</v>
      </c>
      <c r="F213" s="3">
        <f>Lab_CIE!P213</f>
        <v>30</v>
      </c>
      <c r="G213" s="3">
        <f>Lab_CIA!J213</f>
        <v>17.2</v>
      </c>
      <c r="H213" s="26">
        <f t="shared" si="3"/>
        <v>47.2</v>
      </c>
    </row>
    <row r="214" ht="14.25" customHeight="1" spans="3:8">
      <c r="C214" s="12">
        <v>204</v>
      </c>
      <c r="D214" s="4" t="s">
        <v>433</v>
      </c>
      <c r="E214" s="14" t="s">
        <v>434</v>
      </c>
      <c r="F214" s="3">
        <f>Lab_CIE!P214</f>
        <v>29.2</v>
      </c>
      <c r="G214" s="3">
        <f>Lab_CIA!J214</f>
        <v>16.8</v>
      </c>
      <c r="H214" s="26">
        <f t="shared" si="3"/>
        <v>46</v>
      </c>
    </row>
    <row r="215" ht="14.25" customHeight="1" spans="3:8">
      <c r="C215" s="12">
        <v>205</v>
      </c>
      <c r="D215" s="4" t="s">
        <v>435</v>
      </c>
      <c r="E215" s="14" t="s">
        <v>436</v>
      </c>
      <c r="F215" s="3">
        <f>Lab_CIE!P215</f>
        <v>27.9</v>
      </c>
      <c r="G215" s="3">
        <f>Lab_CIA!J215</f>
        <v>17.2</v>
      </c>
      <c r="H215" s="26">
        <f t="shared" si="3"/>
        <v>45.1</v>
      </c>
    </row>
    <row r="216" ht="14.25" customHeight="1" spans="3:8">
      <c r="C216" s="12">
        <v>206</v>
      </c>
      <c r="D216" s="4" t="s">
        <v>437</v>
      </c>
      <c r="E216" s="14" t="s">
        <v>438</v>
      </c>
      <c r="F216" s="3">
        <f>Lab_CIE!P216</f>
        <v>27.7</v>
      </c>
      <c r="G216" s="3">
        <f>Lab_CIA!J216</f>
        <v>16.8</v>
      </c>
      <c r="H216" s="26">
        <f t="shared" si="3"/>
        <v>44.5</v>
      </c>
    </row>
    <row r="217" ht="14.25" customHeight="1" spans="3:8">
      <c r="C217" s="12">
        <v>207</v>
      </c>
      <c r="D217" s="4" t="s">
        <v>439</v>
      </c>
      <c r="E217" s="14" t="s">
        <v>440</v>
      </c>
      <c r="F217" s="3">
        <f>Lab_CIE!P217</f>
        <v>28.6</v>
      </c>
      <c r="G217" s="3">
        <f>Lab_CIA!J217</f>
        <v>14.8</v>
      </c>
      <c r="H217" s="26">
        <f t="shared" si="3"/>
        <v>43.4</v>
      </c>
    </row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</sheetData>
  <mergeCells count="5">
    <mergeCell ref="C6:H6"/>
    <mergeCell ref="C7:H7"/>
    <mergeCell ref="D8:E8"/>
    <mergeCell ref="I8:J8"/>
    <mergeCell ref="I9:J9"/>
  </mergeCells>
  <pageMargins left="0.25" right="0.25" top="0.75" bottom="0.75" header="0.3" footer="0.3"/>
  <pageSetup paperSize="9" scale="74" fitToHeight="0" orientation="portrait" horizontalDpi="300" verticalDpi="300"/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X993"/>
  <sheetViews>
    <sheetView zoomScale="102" zoomScaleNormal="102" topLeftCell="A175" workbookViewId="0">
      <selection activeCell="H216" sqref="H216"/>
    </sheetView>
  </sheetViews>
  <sheetFormatPr defaultColWidth="14.4285714285714" defaultRowHeight="15" customHeight="1"/>
  <cols>
    <col min="1" max="2" width="8.71428571428571" customWidth="1"/>
    <col min="3" max="3" width="6.28571428571429" customWidth="1"/>
    <col min="4" max="4" width="16" customWidth="1"/>
    <col min="5" max="5" width="29" customWidth="1"/>
    <col min="6" max="7" width="16.7142857142857" customWidth="1"/>
    <col min="8" max="8" width="13.5714285714286" customWidth="1"/>
    <col min="9" max="16" width="8.71428571428571" customWidth="1"/>
    <col min="17" max="18" width="9.57142857142857" customWidth="1"/>
    <col min="19" max="24" width="8.71428571428571" customWidth="1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 spans="3:14">
      <c r="C6" s="17" t="s">
        <v>450</v>
      </c>
      <c r="D6" s="17"/>
      <c r="E6" s="17"/>
      <c r="F6" s="17"/>
      <c r="G6" s="17"/>
      <c r="H6" s="18"/>
      <c r="I6" s="18"/>
      <c r="J6" s="18"/>
      <c r="K6" s="18"/>
      <c r="L6" s="18"/>
      <c r="M6" s="18"/>
      <c r="N6" s="18"/>
    </row>
    <row r="7" ht="14.25" customHeight="1" spans="3:14">
      <c r="C7" s="17" t="s">
        <v>476</v>
      </c>
      <c r="D7" s="17"/>
      <c r="E7" s="17"/>
      <c r="F7" s="17"/>
      <c r="G7" s="17"/>
      <c r="H7" s="18"/>
      <c r="I7" s="18"/>
      <c r="J7" s="18"/>
      <c r="K7" s="18"/>
      <c r="L7" s="18"/>
      <c r="M7" s="18"/>
      <c r="N7" s="18"/>
    </row>
    <row r="8" ht="14.25" customHeight="1" spans="1:24">
      <c r="A8" s="19"/>
      <c r="B8" s="19"/>
      <c r="C8" s="19"/>
      <c r="D8" s="20" t="s">
        <v>452</v>
      </c>
      <c r="F8" s="18" t="s">
        <v>453</v>
      </c>
      <c r="G8" s="21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</row>
    <row r="9" ht="14.25" customHeight="1" spans="1:24">
      <c r="A9" s="19"/>
      <c r="B9" s="19"/>
      <c r="C9" s="19"/>
      <c r="D9" s="22" t="s">
        <v>473</v>
      </c>
      <c r="E9" s="23"/>
      <c r="F9" s="19"/>
      <c r="G9" s="21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</row>
    <row r="10" ht="14.25" customHeight="1" spans="1:24">
      <c r="A10" s="24"/>
      <c r="B10" s="24"/>
      <c r="C10" s="12" t="s">
        <v>443</v>
      </c>
      <c r="D10" s="12" t="s">
        <v>6</v>
      </c>
      <c r="E10" s="12" t="s">
        <v>7</v>
      </c>
      <c r="F10" s="12" t="s">
        <v>469</v>
      </c>
      <c r="G10" s="12" t="s">
        <v>477</v>
      </c>
      <c r="H10" s="12" t="s">
        <v>478</v>
      </c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</row>
    <row r="11" ht="14.25" customHeight="1" spans="3:18">
      <c r="C11" s="25">
        <v>1</v>
      </c>
      <c r="D11" s="5" t="s">
        <v>26</v>
      </c>
      <c r="E11" s="13" t="s">
        <v>27</v>
      </c>
      <c r="F11" s="26">
        <f>'CIE+CIA'!H11</f>
        <v>46.7</v>
      </c>
      <c r="G11" s="26">
        <f>F11*0.4</f>
        <v>18.68</v>
      </c>
      <c r="H11" s="26">
        <f>ROUNDUP(G11,0)</f>
        <v>19</v>
      </c>
      <c r="I11" s="27"/>
      <c r="J11" s="27"/>
      <c r="K11" s="27"/>
      <c r="L11" s="27"/>
      <c r="M11" s="27"/>
      <c r="N11" s="27"/>
      <c r="O11" s="27"/>
      <c r="P11" s="27"/>
      <c r="Q11" s="27"/>
      <c r="R11" s="27"/>
    </row>
    <row r="12" ht="14.25" customHeight="1" spans="3:18">
      <c r="C12" s="25">
        <v>2</v>
      </c>
      <c r="D12" s="5" t="s">
        <v>28</v>
      </c>
      <c r="E12" s="13" t="s">
        <v>29</v>
      </c>
      <c r="F12" s="26">
        <f>'CIE+CIA'!H12</f>
        <v>48.3</v>
      </c>
      <c r="G12" s="26">
        <f t="shared" ref="G12:G75" si="0">F12*0.4</f>
        <v>19.32</v>
      </c>
      <c r="H12" s="26">
        <f t="shared" ref="H12:H75" si="1">ROUNDUP(G12,0)</f>
        <v>20</v>
      </c>
      <c r="I12" s="27"/>
      <c r="J12" s="27"/>
      <c r="K12" s="27"/>
      <c r="L12" s="27"/>
      <c r="M12" s="27"/>
      <c r="N12" s="27"/>
      <c r="O12" s="27"/>
      <c r="P12" s="27"/>
      <c r="Q12" s="27"/>
      <c r="R12" s="27"/>
    </row>
    <row r="13" ht="14.25" customHeight="1" spans="3:18">
      <c r="C13" s="25">
        <v>3</v>
      </c>
      <c r="D13" s="5" t="s">
        <v>30</v>
      </c>
      <c r="E13" s="13" t="s">
        <v>31</v>
      </c>
      <c r="F13" s="26">
        <f>'CIE+CIA'!H13</f>
        <v>48.3</v>
      </c>
      <c r="G13" s="26">
        <f t="shared" si="0"/>
        <v>19.32</v>
      </c>
      <c r="H13" s="26">
        <f t="shared" si="1"/>
        <v>20</v>
      </c>
      <c r="I13" s="27"/>
      <c r="J13" s="27"/>
      <c r="K13" s="27"/>
      <c r="L13" s="27"/>
      <c r="M13" s="27"/>
      <c r="N13" s="27"/>
      <c r="O13" s="27"/>
      <c r="P13" s="27"/>
      <c r="Q13" s="27"/>
      <c r="R13" s="27"/>
    </row>
    <row r="14" ht="14.25" customHeight="1" spans="3:18">
      <c r="C14" s="25">
        <v>4</v>
      </c>
      <c r="D14" s="5" t="s">
        <v>32</v>
      </c>
      <c r="E14" s="13" t="s">
        <v>33</v>
      </c>
      <c r="F14" s="26">
        <f>'CIE+CIA'!H14</f>
        <v>48.9</v>
      </c>
      <c r="G14" s="26">
        <f t="shared" si="0"/>
        <v>19.56</v>
      </c>
      <c r="H14" s="26">
        <f t="shared" si="1"/>
        <v>20</v>
      </c>
      <c r="I14" s="27"/>
      <c r="J14" s="27"/>
      <c r="K14" s="27"/>
      <c r="L14" s="27"/>
      <c r="M14" s="27"/>
      <c r="N14" s="27"/>
      <c r="O14" s="27"/>
      <c r="P14" s="27"/>
      <c r="Q14" s="27"/>
      <c r="R14" s="27"/>
    </row>
    <row r="15" ht="14.25" customHeight="1" spans="3:18">
      <c r="C15" s="25">
        <v>5</v>
      </c>
      <c r="D15" s="5" t="s">
        <v>34</v>
      </c>
      <c r="E15" s="13" t="s">
        <v>35</v>
      </c>
      <c r="F15" s="26">
        <f>'CIE+CIA'!H15</f>
        <v>46.6</v>
      </c>
      <c r="G15" s="26">
        <f t="shared" si="0"/>
        <v>18.64</v>
      </c>
      <c r="H15" s="26">
        <f t="shared" si="1"/>
        <v>19</v>
      </c>
      <c r="I15" s="27"/>
      <c r="J15" s="27"/>
      <c r="K15" s="27"/>
      <c r="L15" s="27"/>
      <c r="M15" s="27"/>
      <c r="N15" s="27"/>
      <c r="O15" s="27"/>
      <c r="P15" s="27"/>
      <c r="Q15" s="27"/>
      <c r="R15" s="27"/>
    </row>
    <row r="16" ht="14.25" customHeight="1" spans="3:18">
      <c r="C16" s="25">
        <v>6</v>
      </c>
      <c r="D16" s="5" t="s">
        <v>36</v>
      </c>
      <c r="E16" s="13" t="s">
        <v>37</v>
      </c>
      <c r="F16" s="26">
        <f>'CIE+CIA'!H16</f>
        <v>47.4</v>
      </c>
      <c r="G16" s="26">
        <f t="shared" si="0"/>
        <v>18.96</v>
      </c>
      <c r="H16" s="26">
        <f t="shared" si="1"/>
        <v>19</v>
      </c>
      <c r="I16" s="27"/>
      <c r="J16" s="27"/>
      <c r="K16" s="27"/>
      <c r="L16" s="27"/>
      <c r="M16" s="27"/>
      <c r="N16" s="27"/>
      <c r="O16" s="27"/>
      <c r="P16" s="27"/>
      <c r="Q16" s="27"/>
      <c r="R16" s="27"/>
    </row>
    <row r="17" ht="14.25" customHeight="1" spans="3:18">
      <c r="C17" s="25">
        <v>7</v>
      </c>
      <c r="D17" s="5" t="s">
        <v>38</v>
      </c>
      <c r="E17" s="13" t="s">
        <v>39</v>
      </c>
      <c r="F17" s="26">
        <f>'CIE+CIA'!H17</f>
        <v>47.3</v>
      </c>
      <c r="G17" s="26">
        <f t="shared" si="0"/>
        <v>18.92</v>
      </c>
      <c r="H17" s="26">
        <f t="shared" si="1"/>
        <v>19</v>
      </c>
      <c r="I17" s="27"/>
      <c r="J17" s="27"/>
      <c r="K17" s="27"/>
      <c r="L17" s="27"/>
      <c r="M17" s="27"/>
      <c r="N17" s="27"/>
      <c r="O17" s="27"/>
      <c r="P17" s="27"/>
      <c r="Q17" s="27"/>
      <c r="R17" s="27"/>
    </row>
    <row r="18" ht="14.25" customHeight="1" spans="3:18">
      <c r="C18" s="25">
        <v>8</v>
      </c>
      <c r="D18" s="5" t="s">
        <v>40</v>
      </c>
      <c r="E18" s="13" t="s">
        <v>41</v>
      </c>
      <c r="F18" s="26">
        <f>'CIE+CIA'!H18</f>
        <v>48.1</v>
      </c>
      <c r="G18" s="26">
        <f t="shared" si="0"/>
        <v>19.24</v>
      </c>
      <c r="H18" s="26">
        <f t="shared" si="1"/>
        <v>20</v>
      </c>
      <c r="I18" s="27"/>
      <c r="J18" s="27"/>
      <c r="K18" s="27"/>
      <c r="L18" s="27"/>
      <c r="M18" s="27"/>
      <c r="N18" s="27"/>
      <c r="O18" s="27"/>
      <c r="P18" s="27"/>
      <c r="Q18" s="27"/>
      <c r="R18" s="27"/>
    </row>
    <row r="19" ht="14.25" customHeight="1" spans="3:18">
      <c r="C19" s="25">
        <v>9</v>
      </c>
      <c r="D19" s="5" t="s">
        <v>42</v>
      </c>
      <c r="E19" s="13" t="s">
        <v>43</v>
      </c>
      <c r="F19" s="26">
        <f>'CIE+CIA'!H19</f>
        <v>46.9</v>
      </c>
      <c r="G19" s="26">
        <f t="shared" si="0"/>
        <v>18.76</v>
      </c>
      <c r="H19" s="26">
        <f t="shared" si="1"/>
        <v>19</v>
      </c>
      <c r="I19" s="27"/>
      <c r="J19" s="27"/>
      <c r="K19" s="27"/>
      <c r="L19" s="27"/>
      <c r="M19" s="27"/>
      <c r="N19" s="27"/>
      <c r="O19" s="27"/>
      <c r="P19" s="27"/>
      <c r="Q19" s="27"/>
      <c r="R19" s="27"/>
    </row>
    <row r="20" ht="14.25" customHeight="1" spans="3:18">
      <c r="C20" s="25">
        <v>10</v>
      </c>
      <c r="D20" s="5" t="s">
        <v>44</v>
      </c>
      <c r="E20" s="13" t="s">
        <v>45</v>
      </c>
      <c r="F20" s="26">
        <f>'CIE+CIA'!H20</f>
        <v>48</v>
      </c>
      <c r="G20" s="26">
        <f t="shared" si="0"/>
        <v>19.2</v>
      </c>
      <c r="H20" s="26">
        <f t="shared" si="1"/>
        <v>20</v>
      </c>
      <c r="I20" s="27"/>
      <c r="J20" s="27"/>
      <c r="K20" s="27"/>
      <c r="L20" s="27"/>
      <c r="M20" s="27"/>
      <c r="N20" s="27"/>
      <c r="O20" s="27"/>
      <c r="P20" s="27"/>
      <c r="Q20" s="27"/>
      <c r="R20" s="27"/>
    </row>
    <row r="21" ht="14.25" customHeight="1" spans="3:18">
      <c r="C21" s="25">
        <v>11</v>
      </c>
      <c r="D21" s="5" t="s">
        <v>46</v>
      </c>
      <c r="E21" s="13" t="s">
        <v>47</v>
      </c>
      <c r="F21" s="26">
        <f>'CIE+CIA'!H21</f>
        <v>47.1</v>
      </c>
      <c r="G21" s="26">
        <f t="shared" si="0"/>
        <v>18.84</v>
      </c>
      <c r="H21" s="26">
        <f t="shared" si="1"/>
        <v>19</v>
      </c>
      <c r="I21" s="27"/>
      <c r="J21" s="27"/>
      <c r="K21" s="27"/>
      <c r="L21" s="27"/>
      <c r="M21" s="27"/>
      <c r="N21" s="27"/>
      <c r="O21" s="27"/>
      <c r="P21" s="27"/>
      <c r="Q21" s="27"/>
      <c r="R21" s="27"/>
    </row>
    <row r="22" ht="14.25" customHeight="1" spans="3:18">
      <c r="C22" s="25">
        <v>12</v>
      </c>
      <c r="D22" s="5" t="s">
        <v>48</v>
      </c>
      <c r="E22" s="13" t="s">
        <v>49</v>
      </c>
      <c r="F22" s="26">
        <f>'CIE+CIA'!H22</f>
        <v>45.5</v>
      </c>
      <c r="G22" s="26">
        <f t="shared" si="0"/>
        <v>18.2</v>
      </c>
      <c r="H22" s="26">
        <f t="shared" si="1"/>
        <v>19</v>
      </c>
      <c r="I22" s="27"/>
      <c r="J22" s="27"/>
      <c r="K22" s="27"/>
      <c r="L22" s="27"/>
      <c r="M22" s="27"/>
      <c r="N22" s="27"/>
      <c r="O22" s="27"/>
      <c r="P22" s="27"/>
      <c r="Q22" s="27"/>
      <c r="R22" s="27"/>
    </row>
    <row r="23" ht="14.25" customHeight="1" spans="3:18">
      <c r="C23" s="25">
        <v>13</v>
      </c>
      <c r="D23" s="5" t="s">
        <v>50</v>
      </c>
      <c r="E23" s="13" t="s">
        <v>51</v>
      </c>
      <c r="F23" s="26">
        <f>'CIE+CIA'!H23</f>
        <v>48.1</v>
      </c>
      <c r="G23" s="26">
        <f t="shared" si="0"/>
        <v>19.24</v>
      </c>
      <c r="H23" s="26">
        <f t="shared" si="1"/>
        <v>20</v>
      </c>
      <c r="I23" s="27"/>
      <c r="J23" s="27"/>
      <c r="K23" s="27"/>
      <c r="L23" s="27"/>
      <c r="M23" s="27"/>
      <c r="N23" s="27"/>
      <c r="O23" s="27"/>
      <c r="P23" s="27"/>
      <c r="Q23" s="27"/>
      <c r="R23" s="27"/>
    </row>
    <row r="24" ht="14.25" customHeight="1" spans="3:18">
      <c r="C24" s="25">
        <v>14</v>
      </c>
      <c r="D24" s="5" t="s">
        <v>52</v>
      </c>
      <c r="E24" s="13" t="s">
        <v>53</v>
      </c>
      <c r="F24" s="26">
        <f>'CIE+CIA'!H24</f>
        <v>47.4</v>
      </c>
      <c r="G24" s="26">
        <f t="shared" si="0"/>
        <v>18.96</v>
      </c>
      <c r="H24" s="26">
        <f t="shared" si="1"/>
        <v>19</v>
      </c>
      <c r="I24" s="27"/>
      <c r="J24" s="27"/>
      <c r="K24" s="27"/>
      <c r="L24" s="27"/>
      <c r="M24" s="27"/>
      <c r="N24" s="27"/>
      <c r="O24" s="27"/>
      <c r="P24" s="27"/>
      <c r="Q24" s="27"/>
      <c r="R24" s="27"/>
    </row>
    <row r="25" ht="14.25" customHeight="1" spans="3:18">
      <c r="C25" s="25">
        <v>15</v>
      </c>
      <c r="D25" s="5" t="s">
        <v>54</v>
      </c>
      <c r="E25" s="13" t="s">
        <v>55</v>
      </c>
      <c r="F25" s="26">
        <f>'CIE+CIA'!H25</f>
        <v>48.5</v>
      </c>
      <c r="G25" s="26">
        <f t="shared" si="0"/>
        <v>19.4</v>
      </c>
      <c r="H25" s="26">
        <f t="shared" si="1"/>
        <v>20</v>
      </c>
      <c r="I25" s="27"/>
      <c r="J25" s="27"/>
      <c r="K25" s="27"/>
      <c r="L25" s="27"/>
      <c r="M25" s="27"/>
      <c r="N25" s="27"/>
      <c r="O25" s="27"/>
      <c r="P25" s="27"/>
      <c r="Q25" s="27"/>
      <c r="R25" s="27"/>
    </row>
    <row r="26" ht="14.25" customHeight="1" spans="3:18">
      <c r="C26" s="25">
        <v>16</v>
      </c>
      <c r="D26" s="5" t="s">
        <v>56</v>
      </c>
      <c r="E26" s="13" t="s">
        <v>57</v>
      </c>
      <c r="F26" s="26">
        <f>'CIE+CIA'!H26</f>
        <v>48</v>
      </c>
      <c r="G26" s="26">
        <f t="shared" si="0"/>
        <v>19.2</v>
      </c>
      <c r="H26" s="26">
        <f t="shared" si="1"/>
        <v>20</v>
      </c>
      <c r="I26" s="27"/>
      <c r="J26" s="27"/>
      <c r="K26" s="27"/>
      <c r="L26" s="27"/>
      <c r="M26" s="27"/>
      <c r="N26" s="27"/>
      <c r="O26" s="27"/>
      <c r="P26" s="27"/>
      <c r="Q26" s="27"/>
      <c r="R26" s="27"/>
    </row>
    <row r="27" ht="14.25" customHeight="1" spans="3:18">
      <c r="C27" s="25">
        <v>17</v>
      </c>
      <c r="D27" s="5" t="s">
        <v>58</v>
      </c>
      <c r="E27" s="13" t="s">
        <v>59</v>
      </c>
      <c r="F27" s="26">
        <f>'CIE+CIA'!H27</f>
        <v>48.7</v>
      </c>
      <c r="G27" s="26">
        <f t="shared" si="0"/>
        <v>19.48</v>
      </c>
      <c r="H27" s="26">
        <f t="shared" si="1"/>
        <v>20</v>
      </c>
      <c r="I27" s="27"/>
      <c r="J27" s="27"/>
      <c r="K27" s="27"/>
      <c r="L27" s="27"/>
      <c r="M27" s="27"/>
      <c r="N27" s="27"/>
      <c r="O27" s="27"/>
      <c r="P27" s="27"/>
      <c r="Q27" s="27"/>
      <c r="R27" s="27"/>
    </row>
    <row r="28" ht="14.25" customHeight="1" spans="3:18">
      <c r="C28" s="25">
        <v>18</v>
      </c>
      <c r="D28" s="5" t="s">
        <v>60</v>
      </c>
      <c r="E28" s="13" t="s">
        <v>61</v>
      </c>
      <c r="F28" s="26">
        <f>'CIE+CIA'!H28</f>
        <v>47.6</v>
      </c>
      <c r="G28" s="26">
        <f t="shared" si="0"/>
        <v>19.04</v>
      </c>
      <c r="H28" s="26">
        <f t="shared" si="1"/>
        <v>20</v>
      </c>
      <c r="I28" s="27"/>
      <c r="J28" s="27"/>
      <c r="K28" s="27"/>
      <c r="L28" s="27"/>
      <c r="M28" s="27"/>
      <c r="N28" s="27"/>
      <c r="O28" s="27"/>
      <c r="P28" s="27"/>
      <c r="Q28" s="27"/>
      <c r="R28" s="27"/>
    </row>
    <row r="29" ht="14.25" customHeight="1" spans="3:18">
      <c r="C29" s="25">
        <v>19</v>
      </c>
      <c r="D29" s="5" t="s">
        <v>62</v>
      </c>
      <c r="E29" s="13" t="s">
        <v>63</v>
      </c>
      <c r="F29" s="26">
        <f>'CIE+CIA'!H29</f>
        <v>48.3</v>
      </c>
      <c r="G29" s="26">
        <f t="shared" si="0"/>
        <v>19.32</v>
      </c>
      <c r="H29" s="26">
        <f t="shared" si="1"/>
        <v>20</v>
      </c>
      <c r="I29" s="27"/>
      <c r="J29" s="27"/>
      <c r="K29" s="27"/>
      <c r="L29" s="27"/>
      <c r="M29" s="27"/>
      <c r="N29" s="27"/>
      <c r="O29" s="27"/>
      <c r="P29" s="27"/>
      <c r="Q29" s="27"/>
      <c r="R29" s="27"/>
    </row>
    <row r="30" ht="14.25" customHeight="1" spans="3:18">
      <c r="C30" s="25">
        <v>20</v>
      </c>
      <c r="D30" s="5" t="s">
        <v>64</v>
      </c>
      <c r="E30" s="13" t="s">
        <v>65</v>
      </c>
      <c r="F30" s="26">
        <f>'CIE+CIA'!H30</f>
        <v>46.7</v>
      </c>
      <c r="G30" s="26">
        <f t="shared" si="0"/>
        <v>18.68</v>
      </c>
      <c r="H30" s="26">
        <f t="shared" si="1"/>
        <v>19</v>
      </c>
      <c r="I30" s="27"/>
      <c r="J30" s="27"/>
      <c r="K30" s="27"/>
      <c r="L30" s="27"/>
      <c r="M30" s="27"/>
      <c r="N30" s="27"/>
      <c r="O30" s="27"/>
      <c r="P30" s="27"/>
      <c r="Q30" s="27"/>
      <c r="R30" s="27"/>
    </row>
    <row r="31" spans="3:18">
      <c r="C31" s="25">
        <v>21</v>
      </c>
      <c r="D31" s="5" t="s">
        <v>66</v>
      </c>
      <c r="E31" s="13" t="s">
        <v>67</v>
      </c>
      <c r="F31" s="26">
        <f>'CIE+CIA'!H31</f>
        <v>48.3</v>
      </c>
      <c r="G31" s="26">
        <f t="shared" si="0"/>
        <v>19.32</v>
      </c>
      <c r="H31" s="26">
        <f t="shared" si="1"/>
        <v>20</v>
      </c>
      <c r="I31" s="27"/>
      <c r="J31" s="27"/>
      <c r="K31" s="27"/>
      <c r="L31" s="27"/>
      <c r="M31" s="27"/>
      <c r="N31" s="27"/>
      <c r="O31" s="27"/>
      <c r="P31" s="27"/>
      <c r="Q31" s="27"/>
      <c r="R31" s="27"/>
    </row>
    <row r="32" ht="14.25" customHeight="1" spans="3:18">
      <c r="C32" s="25">
        <v>22</v>
      </c>
      <c r="D32" s="5" t="s">
        <v>68</v>
      </c>
      <c r="E32" s="13" t="s">
        <v>69</v>
      </c>
      <c r="F32" s="26">
        <f>'CIE+CIA'!H32</f>
        <v>47.5</v>
      </c>
      <c r="G32" s="26">
        <f t="shared" si="0"/>
        <v>19</v>
      </c>
      <c r="H32" s="26">
        <f t="shared" si="1"/>
        <v>19</v>
      </c>
      <c r="I32" s="27"/>
      <c r="J32" s="27"/>
      <c r="K32" s="27"/>
      <c r="L32" s="27"/>
      <c r="M32" s="27"/>
      <c r="N32" s="27"/>
      <c r="O32" s="27"/>
      <c r="P32" s="27"/>
      <c r="Q32" s="27"/>
      <c r="R32" s="27"/>
    </row>
    <row r="33" ht="14.25" customHeight="1" spans="3:18">
      <c r="C33" s="25">
        <v>23</v>
      </c>
      <c r="D33" s="5" t="s">
        <v>70</v>
      </c>
      <c r="E33" s="13" t="s">
        <v>71</v>
      </c>
      <c r="F33" s="26">
        <f>'CIE+CIA'!H33</f>
        <v>45.5</v>
      </c>
      <c r="G33" s="26">
        <f t="shared" si="0"/>
        <v>18.2</v>
      </c>
      <c r="H33" s="26">
        <f t="shared" si="1"/>
        <v>19</v>
      </c>
      <c r="I33" s="27"/>
      <c r="J33" s="27"/>
      <c r="K33" s="27"/>
      <c r="L33" s="27"/>
      <c r="M33" s="27"/>
      <c r="N33" s="27"/>
      <c r="O33" s="27"/>
      <c r="P33" s="27"/>
      <c r="Q33" s="27"/>
      <c r="R33" s="27"/>
    </row>
    <row r="34" ht="14.25" customHeight="1" spans="3:18">
      <c r="C34" s="25">
        <v>24</v>
      </c>
      <c r="D34" s="5" t="s">
        <v>72</v>
      </c>
      <c r="E34" s="13" t="s">
        <v>73</v>
      </c>
      <c r="F34" s="26">
        <f>'CIE+CIA'!H34</f>
        <v>46.3</v>
      </c>
      <c r="G34" s="26">
        <f t="shared" si="0"/>
        <v>18.52</v>
      </c>
      <c r="H34" s="26">
        <f t="shared" si="1"/>
        <v>19</v>
      </c>
      <c r="I34" s="27"/>
      <c r="J34" s="27"/>
      <c r="K34" s="27"/>
      <c r="L34" s="27"/>
      <c r="M34" s="27"/>
      <c r="N34" s="27"/>
      <c r="O34" s="27"/>
      <c r="P34" s="27"/>
      <c r="Q34" s="27"/>
      <c r="R34" s="27"/>
    </row>
    <row r="35" ht="14.25" customHeight="1" spans="3:18">
      <c r="C35" s="25">
        <v>25</v>
      </c>
      <c r="D35" s="5" t="s">
        <v>74</v>
      </c>
      <c r="E35" s="13" t="s">
        <v>75</v>
      </c>
      <c r="F35" s="26">
        <f>'CIE+CIA'!H35</f>
        <v>48.7</v>
      </c>
      <c r="G35" s="26">
        <f t="shared" si="0"/>
        <v>19.48</v>
      </c>
      <c r="H35" s="26">
        <f t="shared" si="1"/>
        <v>20</v>
      </c>
      <c r="I35" s="27"/>
      <c r="J35" s="27"/>
      <c r="K35" s="27"/>
      <c r="L35" s="27"/>
      <c r="M35" s="27"/>
      <c r="N35" s="27"/>
      <c r="O35" s="27"/>
      <c r="P35" s="27"/>
      <c r="Q35" s="27"/>
      <c r="R35" s="27"/>
    </row>
    <row r="36" ht="14.25" customHeight="1" spans="3:18">
      <c r="C36" s="25">
        <v>26</v>
      </c>
      <c r="D36" s="5" t="s">
        <v>76</v>
      </c>
      <c r="E36" s="13" t="s">
        <v>77</v>
      </c>
      <c r="F36" s="26">
        <f>'CIE+CIA'!H36</f>
        <v>47.7</v>
      </c>
      <c r="G36" s="26">
        <f t="shared" si="0"/>
        <v>19.08</v>
      </c>
      <c r="H36" s="26">
        <f t="shared" si="1"/>
        <v>20</v>
      </c>
      <c r="I36" s="27"/>
      <c r="J36" s="27"/>
      <c r="K36" s="27"/>
      <c r="L36" s="27"/>
      <c r="M36" s="27"/>
      <c r="N36" s="27"/>
      <c r="O36" s="27"/>
      <c r="P36" s="27"/>
      <c r="Q36" s="27"/>
      <c r="R36" s="27"/>
    </row>
    <row r="37" ht="14.25" customHeight="1" spans="3:18">
      <c r="C37" s="25">
        <v>27</v>
      </c>
      <c r="D37" s="5" t="s">
        <v>78</v>
      </c>
      <c r="E37" s="13" t="s">
        <v>79</v>
      </c>
      <c r="F37" s="26">
        <f>'CIE+CIA'!H37</f>
        <v>46.7</v>
      </c>
      <c r="G37" s="26">
        <f t="shared" si="0"/>
        <v>18.68</v>
      </c>
      <c r="H37" s="26">
        <f t="shared" si="1"/>
        <v>19</v>
      </c>
      <c r="I37" s="27"/>
      <c r="J37" s="27"/>
      <c r="K37" s="27"/>
      <c r="L37" s="27"/>
      <c r="M37" s="27"/>
      <c r="N37" s="27"/>
      <c r="O37" s="27"/>
      <c r="P37" s="27"/>
      <c r="Q37" s="27"/>
      <c r="R37" s="27"/>
    </row>
    <row r="38" ht="14.25" customHeight="1" spans="3:18">
      <c r="C38" s="25">
        <v>28</v>
      </c>
      <c r="D38" s="5" t="s">
        <v>80</v>
      </c>
      <c r="E38" s="13" t="s">
        <v>81</v>
      </c>
      <c r="F38" s="26">
        <f>'CIE+CIA'!H38</f>
        <v>48.1</v>
      </c>
      <c r="G38" s="26">
        <f t="shared" si="0"/>
        <v>19.24</v>
      </c>
      <c r="H38" s="26">
        <f t="shared" si="1"/>
        <v>20</v>
      </c>
      <c r="I38" s="27"/>
      <c r="J38" s="27"/>
      <c r="K38" s="27"/>
      <c r="L38" s="27"/>
      <c r="M38" s="27"/>
      <c r="N38" s="27"/>
      <c r="O38" s="27"/>
      <c r="P38" s="27"/>
      <c r="Q38" s="27"/>
      <c r="R38" s="27"/>
    </row>
    <row r="39" ht="14.25" customHeight="1" spans="3:18">
      <c r="C39" s="25">
        <v>29</v>
      </c>
      <c r="D39" s="5" t="s">
        <v>82</v>
      </c>
      <c r="E39" s="13" t="s">
        <v>83</v>
      </c>
      <c r="F39" s="26">
        <f>'CIE+CIA'!H39</f>
        <v>49.1</v>
      </c>
      <c r="G39" s="26">
        <f t="shared" si="0"/>
        <v>19.64</v>
      </c>
      <c r="H39" s="26">
        <f t="shared" si="1"/>
        <v>20</v>
      </c>
      <c r="I39" s="27"/>
      <c r="J39" s="27"/>
      <c r="K39" s="27"/>
      <c r="L39" s="27"/>
      <c r="M39" s="27"/>
      <c r="N39" s="27"/>
      <c r="O39" s="27"/>
      <c r="P39" s="27"/>
      <c r="Q39" s="27"/>
      <c r="R39" s="27"/>
    </row>
    <row r="40" ht="14.25" customHeight="1" spans="3:18">
      <c r="C40" s="25">
        <v>30</v>
      </c>
      <c r="D40" s="5" t="s">
        <v>84</v>
      </c>
      <c r="E40" s="13" t="s">
        <v>85</v>
      </c>
      <c r="F40" s="26">
        <f>'CIE+CIA'!H40</f>
        <v>48.2</v>
      </c>
      <c r="G40" s="26">
        <f t="shared" si="0"/>
        <v>19.28</v>
      </c>
      <c r="H40" s="26">
        <f t="shared" si="1"/>
        <v>20</v>
      </c>
      <c r="I40" s="27"/>
      <c r="J40" s="27"/>
      <c r="K40" s="27"/>
      <c r="L40" s="27"/>
      <c r="M40" s="27"/>
      <c r="N40" s="27"/>
      <c r="O40" s="27"/>
      <c r="P40" s="27"/>
      <c r="Q40" s="27"/>
      <c r="R40" s="27"/>
    </row>
    <row r="41" ht="14.25" customHeight="1" spans="3:18">
      <c r="C41" s="25">
        <v>31</v>
      </c>
      <c r="D41" s="5" t="s">
        <v>86</v>
      </c>
      <c r="E41" s="13" t="s">
        <v>87</v>
      </c>
      <c r="F41" s="26">
        <f>'CIE+CIA'!H41</f>
        <v>46.7</v>
      </c>
      <c r="G41" s="26">
        <f t="shared" si="0"/>
        <v>18.68</v>
      </c>
      <c r="H41" s="26">
        <f t="shared" si="1"/>
        <v>19</v>
      </c>
      <c r="I41" s="27"/>
      <c r="J41" s="27"/>
      <c r="K41" s="27"/>
      <c r="L41" s="27"/>
      <c r="M41" s="27"/>
      <c r="N41" s="27"/>
      <c r="O41" s="27"/>
      <c r="P41" s="27"/>
      <c r="Q41" s="27"/>
      <c r="R41" s="27"/>
    </row>
    <row r="42" ht="14.25" customHeight="1" spans="3:18">
      <c r="C42" s="25">
        <v>32</v>
      </c>
      <c r="D42" s="5" t="s">
        <v>88</v>
      </c>
      <c r="E42" s="13" t="s">
        <v>89</v>
      </c>
      <c r="F42" s="26">
        <f>'CIE+CIA'!H42</f>
        <v>48.4</v>
      </c>
      <c r="G42" s="26">
        <f t="shared" si="0"/>
        <v>19.36</v>
      </c>
      <c r="H42" s="26">
        <f t="shared" si="1"/>
        <v>20</v>
      </c>
      <c r="I42" s="27"/>
      <c r="J42" s="27"/>
      <c r="K42" s="27"/>
      <c r="L42" s="27"/>
      <c r="M42" s="27"/>
      <c r="N42" s="27"/>
      <c r="O42" s="27"/>
      <c r="P42" s="27"/>
      <c r="Q42" s="27"/>
      <c r="R42" s="27"/>
    </row>
    <row r="43" ht="14.25" customHeight="1" spans="3:18">
      <c r="C43" s="25">
        <v>33</v>
      </c>
      <c r="D43" s="5" t="s">
        <v>90</v>
      </c>
      <c r="E43" s="13" t="s">
        <v>91</v>
      </c>
      <c r="F43" s="26">
        <f>'CIE+CIA'!H43</f>
        <v>45.9</v>
      </c>
      <c r="G43" s="26">
        <f t="shared" si="0"/>
        <v>18.36</v>
      </c>
      <c r="H43" s="26">
        <f t="shared" si="1"/>
        <v>19</v>
      </c>
      <c r="I43" s="27"/>
      <c r="J43" s="27"/>
      <c r="K43" s="27"/>
      <c r="L43" s="27"/>
      <c r="M43" s="27"/>
      <c r="N43" s="27"/>
      <c r="O43" s="27"/>
      <c r="P43" s="27"/>
      <c r="Q43" s="27"/>
      <c r="R43" s="27"/>
    </row>
    <row r="44" ht="14.25" customHeight="1" spans="3:18">
      <c r="C44" s="25">
        <v>34</v>
      </c>
      <c r="D44" s="5" t="s">
        <v>92</v>
      </c>
      <c r="E44" s="13" t="s">
        <v>93</v>
      </c>
      <c r="F44" s="26">
        <f>'CIE+CIA'!H44</f>
        <v>48.5</v>
      </c>
      <c r="G44" s="26">
        <f t="shared" si="0"/>
        <v>19.4</v>
      </c>
      <c r="H44" s="26">
        <f t="shared" si="1"/>
        <v>20</v>
      </c>
      <c r="I44" s="27"/>
      <c r="J44" s="27"/>
      <c r="K44" s="27"/>
      <c r="L44" s="27"/>
      <c r="M44" s="27"/>
      <c r="N44" s="27"/>
      <c r="O44" s="27"/>
      <c r="P44" s="27"/>
      <c r="Q44" s="27"/>
      <c r="R44" s="27"/>
    </row>
    <row r="45" ht="14.25" customHeight="1" spans="3:18">
      <c r="C45" s="25">
        <v>35</v>
      </c>
      <c r="D45" s="5" t="s">
        <v>94</v>
      </c>
      <c r="E45" s="13" t="s">
        <v>95</v>
      </c>
      <c r="F45" s="26">
        <f>'CIE+CIA'!H45</f>
        <v>46.6</v>
      </c>
      <c r="G45" s="26">
        <f t="shared" si="0"/>
        <v>18.64</v>
      </c>
      <c r="H45" s="26">
        <f t="shared" si="1"/>
        <v>19</v>
      </c>
      <c r="I45" s="27"/>
      <c r="J45" s="27"/>
      <c r="K45" s="27"/>
      <c r="L45" s="27"/>
      <c r="M45" s="27"/>
      <c r="N45" s="27"/>
      <c r="O45" s="27"/>
      <c r="P45" s="27"/>
      <c r="Q45" s="27"/>
      <c r="R45" s="27"/>
    </row>
    <row r="46" ht="14.25" customHeight="1" spans="3:18">
      <c r="C46" s="25">
        <v>36</v>
      </c>
      <c r="D46" s="5" t="s">
        <v>96</v>
      </c>
      <c r="E46" s="13" t="s">
        <v>97</v>
      </c>
      <c r="F46" s="26">
        <f>'CIE+CIA'!H46</f>
        <v>46.8</v>
      </c>
      <c r="G46" s="26">
        <f t="shared" si="0"/>
        <v>18.72</v>
      </c>
      <c r="H46" s="26">
        <f t="shared" si="1"/>
        <v>19</v>
      </c>
      <c r="I46" s="27"/>
      <c r="J46" s="27"/>
      <c r="K46" s="27"/>
      <c r="L46" s="27"/>
      <c r="M46" s="27"/>
      <c r="N46" s="27"/>
      <c r="O46" s="27"/>
      <c r="P46" s="27"/>
      <c r="Q46" s="27"/>
      <c r="R46" s="27"/>
    </row>
    <row r="47" ht="14.25" customHeight="1" spans="3:18">
      <c r="C47" s="25">
        <v>37</v>
      </c>
      <c r="D47" s="5" t="s">
        <v>98</v>
      </c>
      <c r="E47" s="13" t="s">
        <v>99</v>
      </c>
      <c r="F47" s="26">
        <f>'CIE+CIA'!H47</f>
        <v>44</v>
      </c>
      <c r="G47" s="26">
        <f t="shared" si="0"/>
        <v>17.6</v>
      </c>
      <c r="H47" s="26">
        <f t="shared" si="1"/>
        <v>18</v>
      </c>
      <c r="I47" s="27"/>
      <c r="J47" s="27"/>
      <c r="K47" s="27"/>
      <c r="L47" s="27"/>
      <c r="M47" s="27"/>
      <c r="N47" s="27"/>
      <c r="O47" s="27"/>
      <c r="P47" s="27"/>
      <c r="Q47" s="27"/>
      <c r="R47" s="27"/>
    </row>
    <row r="48" ht="14.25" customHeight="1" spans="3:18">
      <c r="C48" s="25">
        <v>38</v>
      </c>
      <c r="D48" s="5" t="s">
        <v>100</v>
      </c>
      <c r="E48" s="13" t="s">
        <v>101</v>
      </c>
      <c r="F48" s="26">
        <f>'CIE+CIA'!H48</f>
        <v>48.4</v>
      </c>
      <c r="G48" s="26">
        <f t="shared" si="0"/>
        <v>19.36</v>
      </c>
      <c r="H48" s="26">
        <f t="shared" si="1"/>
        <v>20</v>
      </c>
      <c r="I48" s="27"/>
      <c r="J48" s="27"/>
      <c r="K48" s="27"/>
      <c r="L48" s="27"/>
      <c r="M48" s="27"/>
      <c r="N48" s="27"/>
      <c r="O48" s="27"/>
      <c r="P48" s="27"/>
      <c r="Q48" s="27"/>
      <c r="R48" s="27"/>
    </row>
    <row r="49" ht="14.25" customHeight="1" spans="3:18">
      <c r="C49" s="25">
        <v>39</v>
      </c>
      <c r="D49" s="5" t="s">
        <v>102</v>
      </c>
      <c r="E49" s="13" t="s">
        <v>103</v>
      </c>
      <c r="F49" s="26">
        <f>'CIE+CIA'!H49</f>
        <v>48.6</v>
      </c>
      <c r="G49" s="26">
        <f t="shared" si="0"/>
        <v>19.44</v>
      </c>
      <c r="H49" s="26">
        <f t="shared" si="1"/>
        <v>20</v>
      </c>
      <c r="I49" s="27"/>
      <c r="J49" s="27"/>
      <c r="K49" s="27"/>
      <c r="L49" s="27"/>
      <c r="M49" s="27"/>
      <c r="N49" s="27"/>
      <c r="O49" s="27"/>
      <c r="P49" s="27"/>
      <c r="Q49" s="27"/>
      <c r="R49" s="27"/>
    </row>
    <row r="50" ht="14.25" customHeight="1" spans="3:18">
      <c r="C50" s="25">
        <v>40</v>
      </c>
      <c r="D50" s="5" t="s">
        <v>104</v>
      </c>
      <c r="E50" s="13" t="s">
        <v>105</v>
      </c>
      <c r="F50" s="26">
        <f>'CIE+CIA'!H50</f>
        <v>47.9</v>
      </c>
      <c r="G50" s="26">
        <f t="shared" si="0"/>
        <v>19.16</v>
      </c>
      <c r="H50" s="26">
        <f t="shared" si="1"/>
        <v>20</v>
      </c>
      <c r="I50" s="27"/>
      <c r="J50" s="27"/>
      <c r="K50" s="27"/>
      <c r="L50" s="27"/>
      <c r="M50" s="27"/>
      <c r="N50" s="27"/>
      <c r="O50" s="27"/>
      <c r="P50" s="27"/>
      <c r="Q50" s="27"/>
      <c r="R50" s="27"/>
    </row>
    <row r="51" ht="14.25" customHeight="1" spans="3:18">
      <c r="C51" s="25">
        <v>41</v>
      </c>
      <c r="D51" s="5" t="s">
        <v>106</v>
      </c>
      <c r="E51" s="13" t="s">
        <v>107</v>
      </c>
      <c r="F51" s="26">
        <f>'CIE+CIA'!H51</f>
        <v>45.6</v>
      </c>
      <c r="G51" s="26">
        <f t="shared" si="0"/>
        <v>18.24</v>
      </c>
      <c r="H51" s="26">
        <f t="shared" si="1"/>
        <v>19</v>
      </c>
      <c r="I51" s="27"/>
      <c r="J51" s="27"/>
      <c r="K51" s="27"/>
      <c r="L51" s="27"/>
      <c r="M51" s="27"/>
      <c r="N51" s="27"/>
      <c r="O51" s="27"/>
      <c r="P51" s="27"/>
      <c r="Q51" s="27"/>
      <c r="R51" s="27"/>
    </row>
    <row r="52" ht="14.25" customHeight="1" spans="3:18">
      <c r="C52" s="25">
        <v>42</v>
      </c>
      <c r="D52" s="5" t="s">
        <v>108</v>
      </c>
      <c r="E52" s="13" t="s">
        <v>109</v>
      </c>
      <c r="F52" s="26">
        <f>'CIE+CIA'!H52</f>
        <v>46</v>
      </c>
      <c r="G52" s="26">
        <f t="shared" si="0"/>
        <v>18.4</v>
      </c>
      <c r="H52" s="26">
        <f t="shared" si="1"/>
        <v>19</v>
      </c>
      <c r="I52" s="27"/>
      <c r="J52" s="27"/>
      <c r="K52" s="27"/>
      <c r="L52" s="27"/>
      <c r="M52" s="27"/>
      <c r="N52" s="27"/>
      <c r="O52" s="27"/>
      <c r="P52" s="27"/>
      <c r="Q52" s="27"/>
      <c r="R52" s="27"/>
    </row>
    <row r="53" ht="14.25" customHeight="1" spans="3:18">
      <c r="C53" s="25">
        <v>43</v>
      </c>
      <c r="D53" s="5" t="s">
        <v>110</v>
      </c>
      <c r="E53" s="13" t="s">
        <v>111</v>
      </c>
      <c r="F53" s="26">
        <f>'CIE+CIA'!H53</f>
        <v>47.2</v>
      </c>
      <c r="G53" s="26">
        <f t="shared" si="0"/>
        <v>18.88</v>
      </c>
      <c r="H53" s="26">
        <f t="shared" si="1"/>
        <v>19</v>
      </c>
      <c r="I53" s="27"/>
      <c r="J53" s="27"/>
      <c r="K53" s="27"/>
      <c r="L53" s="27"/>
      <c r="M53" s="27"/>
      <c r="N53" s="27"/>
      <c r="O53" s="27"/>
      <c r="P53" s="27"/>
      <c r="Q53" s="27"/>
      <c r="R53" s="27"/>
    </row>
    <row r="54" ht="14.25" customHeight="1" spans="3:18">
      <c r="C54" s="25">
        <v>44</v>
      </c>
      <c r="D54" s="5" t="s">
        <v>112</v>
      </c>
      <c r="E54" s="13" t="s">
        <v>113</v>
      </c>
      <c r="F54" s="26">
        <f>'CIE+CIA'!H54</f>
        <v>46.4</v>
      </c>
      <c r="G54" s="26">
        <f t="shared" si="0"/>
        <v>18.56</v>
      </c>
      <c r="H54" s="26">
        <f t="shared" si="1"/>
        <v>19</v>
      </c>
      <c r="I54" s="27"/>
      <c r="J54" s="27"/>
      <c r="K54" s="27"/>
      <c r="L54" s="27"/>
      <c r="M54" s="27"/>
      <c r="N54" s="27"/>
      <c r="O54" s="27"/>
      <c r="P54" s="27"/>
      <c r="Q54" s="27"/>
      <c r="R54" s="27"/>
    </row>
    <row r="55" ht="14.25" customHeight="1" spans="3:18">
      <c r="C55" s="25">
        <v>45</v>
      </c>
      <c r="D55" s="5" t="s">
        <v>114</v>
      </c>
      <c r="E55" s="13" t="s">
        <v>115</v>
      </c>
      <c r="F55" s="26">
        <f>'CIE+CIA'!H55</f>
        <v>46.1</v>
      </c>
      <c r="G55" s="26">
        <f t="shared" si="0"/>
        <v>18.44</v>
      </c>
      <c r="H55" s="26">
        <f t="shared" si="1"/>
        <v>19</v>
      </c>
      <c r="I55" s="27"/>
      <c r="J55" s="27"/>
      <c r="K55" s="27"/>
      <c r="L55" s="27"/>
      <c r="M55" s="27"/>
      <c r="N55" s="27"/>
      <c r="O55" s="27"/>
      <c r="P55" s="27"/>
      <c r="Q55" s="27"/>
      <c r="R55" s="27"/>
    </row>
    <row r="56" ht="30" spans="3:18">
      <c r="C56" s="25">
        <v>46</v>
      </c>
      <c r="D56" s="5" t="s">
        <v>116</v>
      </c>
      <c r="E56" s="13" t="s">
        <v>117</v>
      </c>
      <c r="F56" s="26">
        <f>'CIE+CIA'!H56</f>
        <v>44.6</v>
      </c>
      <c r="G56" s="26">
        <f t="shared" si="0"/>
        <v>17.84</v>
      </c>
      <c r="H56" s="26">
        <f t="shared" si="1"/>
        <v>18</v>
      </c>
      <c r="I56" s="27"/>
      <c r="J56" s="27"/>
      <c r="K56" s="27"/>
      <c r="L56" s="27"/>
      <c r="M56" s="27"/>
      <c r="N56" s="27"/>
      <c r="O56" s="27"/>
      <c r="P56" s="27"/>
      <c r="Q56" s="27"/>
      <c r="R56" s="27"/>
    </row>
    <row r="57" ht="14.25" customHeight="1" spans="3:18">
      <c r="C57" s="25">
        <v>47</v>
      </c>
      <c r="D57" s="5" t="s">
        <v>118</v>
      </c>
      <c r="E57" s="13" t="s">
        <v>119</v>
      </c>
      <c r="F57" s="26">
        <f>'CIE+CIA'!H57</f>
        <v>45</v>
      </c>
      <c r="G57" s="26">
        <f t="shared" si="0"/>
        <v>18</v>
      </c>
      <c r="H57" s="26">
        <f t="shared" si="1"/>
        <v>18</v>
      </c>
      <c r="I57" s="27"/>
      <c r="J57" s="27"/>
      <c r="K57" s="27"/>
      <c r="L57" s="27"/>
      <c r="M57" s="27"/>
      <c r="N57" s="27"/>
      <c r="O57" s="27"/>
      <c r="P57" s="27"/>
      <c r="Q57" s="27"/>
      <c r="R57" s="27"/>
    </row>
    <row r="58" ht="14.25" customHeight="1" spans="3:18">
      <c r="C58" s="25">
        <v>48</v>
      </c>
      <c r="D58" s="5" t="s">
        <v>120</v>
      </c>
      <c r="E58" s="13" t="s">
        <v>121</v>
      </c>
      <c r="F58" s="26">
        <f>'CIE+CIA'!H58</f>
        <v>44.6</v>
      </c>
      <c r="G58" s="26">
        <f t="shared" si="0"/>
        <v>17.84</v>
      </c>
      <c r="H58" s="26">
        <f t="shared" si="1"/>
        <v>18</v>
      </c>
      <c r="I58" s="27"/>
      <c r="J58" s="27"/>
      <c r="K58" s="27"/>
      <c r="L58" s="27"/>
      <c r="M58" s="27"/>
      <c r="N58" s="27"/>
      <c r="O58" s="27"/>
      <c r="P58" s="27"/>
      <c r="Q58" s="27"/>
      <c r="R58" s="27"/>
    </row>
    <row r="59" ht="14.25" customHeight="1" spans="3:18">
      <c r="C59" s="25">
        <v>49</v>
      </c>
      <c r="D59" s="5" t="s">
        <v>122</v>
      </c>
      <c r="E59" s="13" t="s">
        <v>123</v>
      </c>
      <c r="F59" s="26">
        <f>'CIE+CIA'!H59</f>
        <v>45</v>
      </c>
      <c r="G59" s="26">
        <f t="shared" si="0"/>
        <v>18</v>
      </c>
      <c r="H59" s="26">
        <f t="shared" si="1"/>
        <v>18</v>
      </c>
      <c r="I59" s="27"/>
      <c r="J59" s="27"/>
      <c r="K59" s="27"/>
      <c r="L59" s="27"/>
      <c r="M59" s="27"/>
      <c r="N59" s="27"/>
      <c r="O59" s="27"/>
      <c r="P59" s="27"/>
      <c r="Q59" s="27"/>
      <c r="R59" s="27"/>
    </row>
    <row r="60" ht="14.25" customHeight="1" spans="3:18">
      <c r="C60" s="25">
        <v>50</v>
      </c>
      <c r="D60" s="5" t="s">
        <v>124</v>
      </c>
      <c r="E60" s="13" t="s">
        <v>125</v>
      </c>
      <c r="F60" s="26">
        <f>'CIE+CIA'!H60</f>
        <v>46.3</v>
      </c>
      <c r="G60" s="26">
        <f t="shared" si="0"/>
        <v>18.52</v>
      </c>
      <c r="H60" s="26">
        <f t="shared" si="1"/>
        <v>19</v>
      </c>
      <c r="I60" s="27"/>
      <c r="J60" s="27"/>
      <c r="K60" s="27"/>
      <c r="L60" s="27"/>
      <c r="M60" s="27"/>
      <c r="N60" s="27"/>
      <c r="O60" s="27"/>
      <c r="P60" s="27"/>
      <c r="Q60" s="27"/>
      <c r="R60" s="27"/>
    </row>
    <row r="61" ht="14.25" customHeight="1" spans="3:18">
      <c r="C61" s="25">
        <v>51</v>
      </c>
      <c r="D61" s="5" t="s">
        <v>126</v>
      </c>
      <c r="E61" s="13" t="s">
        <v>127</v>
      </c>
      <c r="F61" s="26">
        <f>'CIE+CIA'!H61</f>
        <v>46.2</v>
      </c>
      <c r="G61" s="26">
        <f t="shared" si="0"/>
        <v>18.48</v>
      </c>
      <c r="H61" s="26">
        <f t="shared" si="1"/>
        <v>19</v>
      </c>
      <c r="I61" s="27"/>
      <c r="J61" s="27"/>
      <c r="K61" s="27"/>
      <c r="L61" s="27"/>
      <c r="M61" s="27"/>
      <c r="N61" s="27"/>
      <c r="O61" s="27"/>
      <c r="P61" s="27"/>
      <c r="Q61" s="27"/>
      <c r="R61" s="27"/>
    </row>
    <row r="62" ht="14.25" customHeight="1" spans="3:18">
      <c r="C62" s="25">
        <v>52</v>
      </c>
      <c r="D62" s="5" t="s">
        <v>128</v>
      </c>
      <c r="E62" s="13" t="s">
        <v>129</v>
      </c>
      <c r="F62" s="26">
        <f>'CIE+CIA'!H62</f>
        <v>0</v>
      </c>
      <c r="G62" s="26">
        <f t="shared" si="0"/>
        <v>0</v>
      </c>
      <c r="H62" s="26">
        <f t="shared" si="1"/>
        <v>0</v>
      </c>
      <c r="I62" s="27"/>
      <c r="J62" s="27"/>
      <c r="K62" s="27"/>
      <c r="L62" s="27"/>
      <c r="M62" s="27"/>
      <c r="N62" s="27"/>
      <c r="O62" s="27"/>
      <c r="P62" s="27"/>
      <c r="Q62" s="27"/>
      <c r="R62" s="27"/>
    </row>
    <row r="63" ht="14.25" customHeight="1" spans="3:18">
      <c r="C63" s="25">
        <v>53</v>
      </c>
      <c r="D63" s="5" t="s">
        <v>130</v>
      </c>
      <c r="E63" s="13" t="s">
        <v>131</v>
      </c>
      <c r="F63" s="26">
        <f>'CIE+CIA'!H63</f>
        <v>47.4</v>
      </c>
      <c r="G63" s="26">
        <f t="shared" si="0"/>
        <v>18.96</v>
      </c>
      <c r="H63" s="26">
        <f t="shared" si="1"/>
        <v>19</v>
      </c>
      <c r="I63" s="27"/>
      <c r="J63" s="27"/>
      <c r="K63" s="27"/>
      <c r="L63" s="27"/>
      <c r="M63" s="27"/>
      <c r="N63" s="27"/>
      <c r="O63" s="27"/>
      <c r="P63" s="27"/>
      <c r="Q63" s="27"/>
      <c r="R63" s="27"/>
    </row>
    <row r="64" ht="14.25" customHeight="1" spans="3:18">
      <c r="C64" s="25">
        <v>54</v>
      </c>
      <c r="D64" s="5" t="s">
        <v>132</v>
      </c>
      <c r="E64" s="13" t="s">
        <v>133</v>
      </c>
      <c r="F64" s="26">
        <f>'CIE+CIA'!H64</f>
        <v>46.6</v>
      </c>
      <c r="G64" s="26">
        <f t="shared" si="0"/>
        <v>18.64</v>
      </c>
      <c r="H64" s="26">
        <f t="shared" si="1"/>
        <v>19</v>
      </c>
      <c r="I64" s="27"/>
      <c r="J64" s="27"/>
      <c r="K64" s="27"/>
      <c r="L64" s="27"/>
      <c r="M64" s="27"/>
      <c r="N64" s="27"/>
      <c r="O64" s="27"/>
      <c r="P64" s="27"/>
      <c r="Q64" s="27"/>
      <c r="R64" s="27"/>
    </row>
    <row r="65" ht="14.25" customHeight="1" spans="3:18">
      <c r="C65" s="25">
        <v>55</v>
      </c>
      <c r="D65" s="5" t="s">
        <v>134</v>
      </c>
      <c r="E65" s="13" t="s">
        <v>135</v>
      </c>
      <c r="F65" s="26">
        <f>'CIE+CIA'!H65</f>
        <v>47.7</v>
      </c>
      <c r="G65" s="26">
        <f t="shared" si="0"/>
        <v>19.08</v>
      </c>
      <c r="H65" s="26">
        <f t="shared" si="1"/>
        <v>20</v>
      </c>
      <c r="I65" s="27"/>
      <c r="J65" s="27"/>
      <c r="K65" s="27"/>
      <c r="L65" s="27"/>
      <c r="M65" s="27"/>
      <c r="N65" s="27"/>
      <c r="O65" s="27"/>
      <c r="P65" s="27"/>
      <c r="Q65" s="27"/>
      <c r="R65" s="27"/>
    </row>
    <row r="66" ht="14.25" customHeight="1" spans="3:18">
      <c r="C66" s="25">
        <v>56</v>
      </c>
      <c r="D66" s="5" t="s">
        <v>136</v>
      </c>
      <c r="E66" s="13" t="s">
        <v>137</v>
      </c>
      <c r="F66" s="26">
        <f>'CIE+CIA'!H66</f>
        <v>46.3</v>
      </c>
      <c r="G66" s="26">
        <f t="shared" si="0"/>
        <v>18.52</v>
      </c>
      <c r="H66" s="26">
        <f t="shared" si="1"/>
        <v>19</v>
      </c>
      <c r="I66" s="27"/>
      <c r="J66" s="27"/>
      <c r="K66" s="27"/>
      <c r="L66" s="27"/>
      <c r="M66" s="27"/>
      <c r="N66" s="27"/>
      <c r="O66" s="27"/>
      <c r="P66" s="27"/>
      <c r="Q66" s="27"/>
      <c r="R66" s="27"/>
    </row>
    <row r="67" ht="14.25" customHeight="1" spans="3:18">
      <c r="C67" s="25">
        <v>57</v>
      </c>
      <c r="D67" s="5" t="s">
        <v>138</v>
      </c>
      <c r="E67" s="13" t="s">
        <v>139</v>
      </c>
      <c r="F67" s="26">
        <f>'CIE+CIA'!H67</f>
        <v>46.5</v>
      </c>
      <c r="G67" s="26">
        <f t="shared" si="0"/>
        <v>18.6</v>
      </c>
      <c r="H67" s="26">
        <f t="shared" si="1"/>
        <v>19</v>
      </c>
      <c r="I67" s="27"/>
      <c r="J67" s="27"/>
      <c r="K67" s="27"/>
      <c r="L67" s="27"/>
      <c r="M67" s="27"/>
      <c r="N67" s="27"/>
      <c r="O67" s="27"/>
      <c r="P67" s="27"/>
      <c r="Q67" s="27"/>
      <c r="R67" s="27"/>
    </row>
    <row r="68" ht="14.25" customHeight="1" spans="3:18">
      <c r="C68" s="25">
        <v>58</v>
      </c>
      <c r="D68" s="5" t="s">
        <v>140</v>
      </c>
      <c r="E68" s="13" t="s">
        <v>141</v>
      </c>
      <c r="F68" s="26">
        <f>'CIE+CIA'!H68</f>
        <v>44.4</v>
      </c>
      <c r="G68" s="26">
        <f t="shared" si="0"/>
        <v>17.76</v>
      </c>
      <c r="H68" s="26">
        <f t="shared" si="1"/>
        <v>18</v>
      </c>
      <c r="I68" s="27"/>
      <c r="J68" s="27"/>
      <c r="K68" s="27"/>
      <c r="L68" s="27"/>
      <c r="M68" s="27"/>
      <c r="N68" s="27"/>
      <c r="O68" s="27"/>
      <c r="P68" s="27"/>
      <c r="Q68" s="27"/>
      <c r="R68" s="27"/>
    </row>
    <row r="69" ht="14.25" customHeight="1" spans="3:18">
      <c r="C69" s="25">
        <v>59</v>
      </c>
      <c r="D69" s="5" t="s">
        <v>142</v>
      </c>
      <c r="E69" s="13" t="s">
        <v>143</v>
      </c>
      <c r="F69" s="26">
        <f>'CIE+CIA'!H69</f>
        <v>46.2</v>
      </c>
      <c r="G69" s="26">
        <f t="shared" si="0"/>
        <v>18.48</v>
      </c>
      <c r="H69" s="26">
        <f t="shared" si="1"/>
        <v>19</v>
      </c>
      <c r="I69" s="27"/>
      <c r="J69" s="27"/>
      <c r="K69" s="27"/>
      <c r="L69" s="27"/>
      <c r="M69" s="27"/>
      <c r="N69" s="27"/>
      <c r="O69" s="27"/>
      <c r="P69" s="27"/>
      <c r="Q69" s="27"/>
      <c r="R69" s="27"/>
    </row>
    <row r="70" ht="14.25" customHeight="1" spans="3:18">
      <c r="C70" s="25">
        <v>60</v>
      </c>
      <c r="D70" s="5" t="s">
        <v>144</v>
      </c>
      <c r="E70" s="13" t="s">
        <v>145</v>
      </c>
      <c r="F70" s="26">
        <f>'CIE+CIA'!H70</f>
        <v>47.7</v>
      </c>
      <c r="G70" s="26">
        <f t="shared" si="0"/>
        <v>19.08</v>
      </c>
      <c r="H70" s="26">
        <f t="shared" si="1"/>
        <v>20</v>
      </c>
      <c r="I70" s="27"/>
      <c r="J70" s="27"/>
      <c r="K70" s="27"/>
      <c r="L70" s="27"/>
      <c r="M70" s="27"/>
      <c r="N70" s="27"/>
      <c r="O70" s="27"/>
      <c r="P70" s="27"/>
      <c r="Q70" s="27"/>
      <c r="R70" s="27"/>
    </row>
    <row r="71" ht="14.25" customHeight="1" spans="3:18">
      <c r="C71" s="25">
        <v>61</v>
      </c>
      <c r="D71" s="5" t="s">
        <v>146</v>
      </c>
      <c r="E71" s="13" t="s">
        <v>147</v>
      </c>
      <c r="F71" s="26">
        <f>'CIE+CIA'!H71</f>
        <v>48</v>
      </c>
      <c r="G71" s="26">
        <f t="shared" si="0"/>
        <v>19.2</v>
      </c>
      <c r="H71" s="26">
        <f t="shared" si="1"/>
        <v>20</v>
      </c>
      <c r="I71" s="27"/>
      <c r="J71" s="27"/>
      <c r="K71" s="27"/>
      <c r="L71" s="27"/>
      <c r="M71" s="27"/>
      <c r="N71" s="27"/>
      <c r="O71" s="27"/>
      <c r="P71" s="27"/>
      <c r="Q71" s="27"/>
      <c r="R71" s="27"/>
    </row>
    <row r="72" ht="14.25" customHeight="1" spans="3:18">
      <c r="C72" s="25">
        <v>62</v>
      </c>
      <c r="D72" s="5" t="s">
        <v>148</v>
      </c>
      <c r="E72" s="13" t="s">
        <v>149</v>
      </c>
      <c r="F72" s="26">
        <f>'CIE+CIA'!H72</f>
        <v>47.2</v>
      </c>
      <c r="G72" s="26">
        <f t="shared" si="0"/>
        <v>18.88</v>
      </c>
      <c r="H72" s="26">
        <f t="shared" si="1"/>
        <v>19</v>
      </c>
      <c r="I72" s="27"/>
      <c r="J72" s="27"/>
      <c r="K72" s="27"/>
      <c r="L72" s="27"/>
      <c r="M72" s="27"/>
      <c r="N72" s="27"/>
      <c r="O72" s="27"/>
      <c r="P72" s="27"/>
      <c r="Q72" s="27"/>
      <c r="R72" s="27"/>
    </row>
    <row r="73" ht="14.25" customHeight="1" spans="3:18">
      <c r="C73" s="25">
        <v>63</v>
      </c>
      <c r="D73" s="5" t="s">
        <v>150</v>
      </c>
      <c r="E73" s="13" t="s">
        <v>151</v>
      </c>
      <c r="F73" s="26">
        <f>'CIE+CIA'!H73</f>
        <v>48.1</v>
      </c>
      <c r="G73" s="26">
        <f t="shared" si="0"/>
        <v>19.24</v>
      </c>
      <c r="H73" s="26">
        <f t="shared" si="1"/>
        <v>20</v>
      </c>
      <c r="I73" s="27"/>
      <c r="J73" s="27"/>
      <c r="K73" s="27"/>
      <c r="L73" s="27"/>
      <c r="M73" s="27"/>
      <c r="N73" s="27"/>
      <c r="O73" s="27"/>
      <c r="P73" s="27"/>
      <c r="Q73" s="27"/>
      <c r="R73" s="27"/>
    </row>
    <row r="74" ht="14.25" customHeight="1" spans="3:18">
      <c r="C74" s="25">
        <v>64</v>
      </c>
      <c r="D74" s="5" t="s">
        <v>152</v>
      </c>
      <c r="E74" s="13" t="s">
        <v>153</v>
      </c>
      <c r="F74" s="26">
        <f>'CIE+CIA'!H74</f>
        <v>47.3</v>
      </c>
      <c r="G74" s="26">
        <f t="shared" si="0"/>
        <v>18.92</v>
      </c>
      <c r="H74" s="26">
        <f t="shared" si="1"/>
        <v>19</v>
      </c>
      <c r="I74" s="27"/>
      <c r="J74" s="27"/>
      <c r="K74" s="27"/>
      <c r="L74" s="27"/>
      <c r="M74" s="27"/>
      <c r="N74" s="27"/>
      <c r="O74" s="27"/>
      <c r="P74" s="27"/>
      <c r="Q74" s="27"/>
      <c r="R74" s="27"/>
    </row>
    <row r="75" ht="14.25" customHeight="1" spans="3:14">
      <c r="C75" s="25">
        <v>65</v>
      </c>
      <c r="D75" s="5" t="s">
        <v>154</v>
      </c>
      <c r="E75" s="13" t="s">
        <v>155</v>
      </c>
      <c r="F75" s="26">
        <f>'CIE+CIA'!H75</f>
        <v>47.9</v>
      </c>
      <c r="G75" s="26">
        <f t="shared" si="0"/>
        <v>19.16</v>
      </c>
      <c r="H75" s="26">
        <f t="shared" si="1"/>
        <v>20</v>
      </c>
      <c r="N75" s="27"/>
    </row>
    <row r="76" ht="14.25" customHeight="1" spans="3:14">
      <c r="C76" s="25">
        <v>66</v>
      </c>
      <c r="D76" s="5" t="s">
        <v>156</v>
      </c>
      <c r="E76" s="13" t="s">
        <v>157</v>
      </c>
      <c r="F76" s="26">
        <f>'CIE+CIA'!H76</f>
        <v>47.6</v>
      </c>
      <c r="G76" s="26">
        <f t="shared" ref="G76:G139" si="2">F76*0.4</f>
        <v>19.04</v>
      </c>
      <c r="H76" s="26">
        <f t="shared" ref="H76:H139" si="3">ROUNDUP(G76,0)</f>
        <v>20</v>
      </c>
      <c r="N76" s="27"/>
    </row>
    <row r="77" ht="14.25" customHeight="1" spans="3:14">
      <c r="C77" s="25">
        <v>67</v>
      </c>
      <c r="D77" s="5" t="s">
        <v>158</v>
      </c>
      <c r="E77" s="13" t="s">
        <v>159</v>
      </c>
      <c r="F77" s="26">
        <f>'CIE+CIA'!H77</f>
        <v>47.8</v>
      </c>
      <c r="G77" s="26">
        <f t="shared" si="2"/>
        <v>19.12</v>
      </c>
      <c r="H77" s="26">
        <f t="shared" si="3"/>
        <v>20</v>
      </c>
      <c r="N77" s="27"/>
    </row>
    <row r="78" ht="14.25" customHeight="1" spans="3:14">
      <c r="C78" s="25">
        <v>68</v>
      </c>
      <c r="D78" s="5" t="s">
        <v>160</v>
      </c>
      <c r="E78" s="13" t="s">
        <v>161</v>
      </c>
      <c r="F78" s="26">
        <f>'CIE+CIA'!H78</f>
        <v>47.4</v>
      </c>
      <c r="G78" s="26">
        <f t="shared" si="2"/>
        <v>18.96</v>
      </c>
      <c r="H78" s="26">
        <f t="shared" si="3"/>
        <v>19</v>
      </c>
      <c r="N78" s="27"/>
    </row>
    <row r="79" ht="14.25" customHeight="1" spans="3:14">
      <c r="C79" s="25">
        <v>69</v>
      </c>
      <c r="D79" s="5" t="s">
        <v>162</v>
      </c>
      <c r="E79" s="13" t="s">
        <v>163</v>
      </c>
      <c r="F79" s="26">
        <f>'CIE+CIA'!H79</f>
        <v>46.4</v>
      </c>
      <c r="G79" s="26">
        <f t="shared" si="2"/>
        <v>18.56</v>
      </c>
      <c r="H79" s="26">
        <f t="shared" si="3"/>
        <v>19</v>
      </c>
      <c r="N79" s="27"/>
    </row>
    <row r="80" ht="14.25" customHeight="1" spans="3:14">
      <c r="C80" s="25">
        <v>70</v>
      </c>
      <c r="D80" s="5" t="s">
        <v>164</v>
      </c>
      <c r="E80" s="13" t="s">
        <v>165</v>
      </c>
      <c r="F80" s="26">
        <f>'CIE+CIA'!H80</f>
        <v>29.5</v>
      </c>
      <c r="G80" s="26">
        <f t="shared" si="2"/>
        <v>11.8</v>
      </c>
      <c r="H80" s="26">
        <f t="shared" si="3"/>
        <v>12</v>
      </c>
      <c r="N80" s="27"/>
    </row>
    <row r="81" ht="14.25" customHeight="1" spans="3:14">
      <c r="C81" s="25">
        <v>71</v>
      </c>
      <c r="D81" s="5" t="s">
        <v>166</v>
      </c>
      <c r="E81" s="13" t="s">
        <v>167</v>
      </c>
      <c r="F81" s="26">
        <f>'CIE+CIA'!H81</f>
        <v>46</v>
      </c>
      <c r="G81" s="26">
        <f t="shared" si="2"/>
        <v>18.4</v>
      </c>
      <c r="H81" s="26">
        <f t="shared" si="3"/>
        <v>19</v>
      </c>
      <c r="N81" s="27"/>
    </row>
    <row r="82" ht="14.25" customHeight="1" spans="3:14">
      <c r="C82" s="25">
        <v>72</v>
      </c>
      <c r="D82" s="5" t="s">
        <v>168</v>
      </c>
      <c r="E82" s="13" t="s">
        <v>169</v>
      </c>
      <c r="F82" s="26">
        <f>'CIE+CIA'!H82</f>
        <v>40.9</v>
      </c>
      <c r="G82" s="26">
        <f t="shared" si="2"/>
        <v>16.36</v>
      </c>
      <c r="H82" s="26">
        <f t="shared" si="3"/>
        <v>17</v>
      </c>
      <c r="N82" s="27"/>
    </row>
    <row r="83" ht="14.25" customHeight="1" spans="3:14">
      <c r="C83" s="25">
        <v>73</v>
      </c>
      <c r="D83" s="5" t="s">
        <v>170</v>
      </c>
      <c r="E83" s="13" t="s">
        <v>171</v>
      </c>
      <c r="F83" s="26">
        <f>'CIE+CIA'!H83</f>
        <v>29.4</v>
      </c>
      <c r="G83" s="26">
        <f t="shared" si="2"/>
        <v>11.76</v>
      </c>
      <c r="H83" s="26">
        <f t="shared" si="3"/>
        <v>12</v>
      </c>
      <c r="N83" s="27"/>
    </row>
    <row r="84" ht="14.25" customHeight="1" spans="3:14">
      <c r="C84" s="25">
        <v>74</v>
      </c>
      <c r="D84" s="5" t="s">
        <v>172</v>
      </c>
      <c r="E84" s="13" t="s">
        <v>173</v>
      </c>
      <c r="F84" s="26">
        <f>'CIE+CIA'!H84</f>
        <v>44.4</v>
      </c>
      <c r="G84" s="26">
        <f t="shared" si="2"/>
        <v>17.76</v>
      </c>
      <c r="H84" s="26">
        <f t="shared" si="3"/>
        <v>18</v>
      </c>
      <c r="N84" s="27"/>
    </row>
    <row r="85" ht="14.25" customHeight="1" spans="3:14">
      <c r="C85" s="25">
        <v>75</v>
      </c>
      <c r="D85" s="5" t="s">
        <v>174</v>
      </c>
      <c r="E85" s="13" t="s">
        <v>175</v>
      </c>
      <c r="F85" s="26">
        <f>'CIE+CIA'!H85</f>
        <v>44.3</v>
      </c>
      <c r="G85" s="26">
        <f t="shared" si="2"/>
        <v>17.72</v>
      </c>
      <c r="H85" s="26">
        <f t="shared" si="3"/>
        <v>18</v>
      </c>
      <c r="N85" s="27"/>
    </row>
    <row r="86" ht="14.25" customHeight="1" spans="3:14">
      <c r="C86" s="25">
        <v>76</v>
      </c>
      <c r="D86" s="5" t="s">
        <v>176</v>
      </c>
      <c r="E86" s="13" t="s">
        <v>177</v>
      </c>
      <c r="F86" s="26">
        <f>'CIE+CIA'!H86</f>
        <v>26.4</v>
      </c>
      <c r="G86" s="26">
        <f t="shared" si="2"/>
        <v>10.56</v>
      </c>
      <c r="H86" s="26">
        <f t="shared" si="3"/>
        <v>11</v>
      </c>
      <c r="N86" s="27"/>
    </row>
    <row r="87" ht="14.25" customHeight="1" spans="3:14">
      <c r="C87" s="25">
        <v>77</v>
      </c>
      <c r="D87" s="5" t="s">
        <v>178</v>
      </c>
      <c r="E87" s="13" t="s">
        <v>179</v>
      </c>
      <c r="F87" s="26">
        <f>'CIE+CIA'!H87</f>
        <v>29.4</v>
      </c>
      <c r="G87" s="26">
        <f t="shared" si="2"/>
        <v>11.76</v>
      </c>
      <c r="H87" s="26">
        <f t="shared" si="3"/>
        <v>12</v>
      </c>
      <c r="N87" s="27"/>
    </row>
    <row r="88" ht="14.25" customHeight="1" spans="3:14">
      <c r="C88" s="25">
        <v>78</v>
      </c>
      <c r="D88" s="5" t="s">
        <v>180</v>
      </c>
      <c r="E88" s="13" t="s">
        <v>181</v>
      </c>
      <c r="F88" s="26">
        <f>'CIE+CIA'!H88</f>
        <v>46.7</v>
      </c>
      <c r="G88" s="26">
        <f t="shared" si="2"/>
        <v>18.68</v>
      </c>
      <c r="H88" s="26">
        <f t="shared" si="3"/>
        <v>19</v>
      </c>
      <c r="N88" s="27"/>
    </row>
    <row r="89" ht="14.25" customHeight="1" spans="3:14">
      <c r="C89" s="25">
        <v>79</v>
      </c>
      <c r="D89" s="5" t="s">
        <v>182</v>
      </c>
      <c r="E89" s="13" t="s">
        <v>183</v>
      </c>
      <c r="F89" s="26">
        <f>'CIE+CIA'!H89</f>
        <v>44.7</v>
      </c>
      <c r="G89" s="26">
        <f t="shared" si="2"/>
        <v>17.88</v>
      </c>
      <c r="H89" s="26">
        <f t="shared" si="3"/>
        <v>18</v>
      </c>
      <c r="N89" s="27"/>
    </row>
    <row r="90" ht="14.25" customHeight="1" spans="3:14">
      <c r="C90" s="25">
        <v>80</v>
      </c>
      <c r="D90" s="5" t="s">
        <v>184</v>
      </c>
      <c r="E90" s="13" t="s">
        <v>185</v>
      </c>
      <c r="F90" s="26">
        <f>'CIE+CIA'!H90</f>
        <v>47.1</v>
      </c>
      <c r="G90" s="26">
        <f t="shared" si="2"/>
        <v>18.84</v>
      </c>
      <c r="H90" s="26">
        <f t="shared" si="3"/>
        <v>19</v>
      </c>
      <c r="N90" s="27"/>
    </row>
    <row r="91" ht="14.25" customHeight="1" spans="3:14">
      <c r="C91" s="25">
        <v>81</v>
      </c>
      <c r="D91" s="5" t="s">
        <v>186</v>
      </c>
      <c r="E91" s="13" t="s">
        <v>187</v>
      </c>
      <c r="F91" s="26">
        <f>'CIE+CIA'!H91</f>
        <v>26.5</v>
      </c>
      <c r="G91" s="26">
        <f t="shared" si="2"/>
        <v>10.6</v>
      </c>
      <c r="H91" s="26">
        <f t="shared" si="3"/>
        <v>11</v>
      </c>
      <c r="N91" s="27"/>
    </row>
    <row r="92" ht="14.25" customHeight="1" spans="3:14">
      <c r="C92" s="25">
        <v>82</v>
      </c>
      <c r="D92" s="5" t="s">
        <v>188</v>
      </c>
      <c r="E92" s="13" t="s">
        <v>189</v>
      </c>
      <c r="F92" s="26">
        <f>'CIE+CIA'!H92</f>
        <v>46</v>
      </c>
      <c r="G92" s="26">
        <f t="shared" si="2"/>
        <v>18.4</v>
      </c>
      <c r="H92" s="26">
        <f t="shared" si="3"/>
        <v>19</v>
      </c>
      <c r="N92" s="27"/>
    </row>
    <row r="93" ht="14.25" customHeight="1" spans="3:14">
      <c r="C93" s="25">
        <v>83</v>
      </c>
      <c r="D93" s="5" t="s">
        <v>190</v>
      </c>
      <c r="E93" s="13" t="s">
        <v>191</v>
      </c>
      <c r="F93" s="26">
        <f>'CIE+CIA'!H93</f>
        <v>48.9</v>
      </c>
      <c r="G93" s="26">
        <f t="shared" si="2"/>
        <v>19.56</v>
      </c>
      <c r="H93" s="26">
        <f t="shared" si="3"/>
        <v>20</v>
      </c>
      <c r="N93" s="27"/>
    </row>
    <row r="94" ht="14.25" customHeight="1" spans="3:14">
      <c r="C94" s="25">
        <v>84</v>
      </c>
      <c r="D94" s="5" t="s">
        <v>192</v>
      </c>
      <c r="E94" s="13" t="s">
        <v>193</v>
      </c>
      <c r="F94" s="26">
        <f>'CIE+CIA'!H94</f>
        <v>42.8</v>
      </c>
      <c r="G94" s="26">
        <f t="shared" si="2"/>
        <v>17.12</v>
      </c>
      <c r="H94" s="26">
        <f t="shared" si="3"/>
        <v>18</v>
      </c>
      <c r="N94" s="27"/>
    </row>
    <row r="95" ht="14.25" customHeight="1" spans="3:14">
      <c r="C95" s="25">
        <v>85</v>
      </c>
      <c r="D95" s="5" t="s">
        <v>194</v>
      </c>
      <c r="E95" s="13" t="s">
        <v>195</v>
      </c>
      <c r="F95" s="26">
        <f>'CIE+CIA'!H95</f>
        <v>44.7</v>
      </c>
      <c r="G95" s="26">
        <f t="shared" si="2"/>
        <v>17.88</v>
      </c>
      <c r="H95" s="26">
        <f t="shared" si="3"/>
        <v>18</v>
      </c>
      <c r="N95" s="27"/>
    </row>
    <row r="96" ht="14.25" customHeight="1" spans="3:14">
      <c r="C96" s="25">
        <v>86</v>
      </c>
      <c r="D96" s="5" t="s">
        <v>196</v>
      </c>
      <c r="E96" s="13" t="s">
        <v>197</v>
      </c>
      <c r="F96" s="26">
        <f>'CIE+CIA'!H96</f>
        <v>45.8</v>
      </c>
      <c r="G96" s="26">
        <f t="shared" si="2"/>
        <v>18.32</v>
      </c>
      <c r="H96" s="26">
        <f t="shared" si="3"/>
        <v>19</v>
      </c>
      <c r="N96" s="27"/>
    </row>
    <row r="97" ht="14.25" customHeight="1" spans="3:14">
      <c r="C97" s="25">
        <v>87</v>
      </c>
      <c r="D97" s="5" t="s">
        <v>198</v>
      </c>
      <c r="E97" s="13" t="s">
        <v>199</v>
      </c>
      <c r="F97" s="26">
        <f>'CIE+CIA'!H97</f>
        <v>48.4</v>
      </c>
      <c r="G97" s="26">
        <f t="shared" si="2"/>
        <v>19.36</v>
      </c>
      <c r="H97" s="26">
        <f t="shared" si="3"/>
        <v>20</v>
      </c>
      <c r="N97" s="27"/>
    </row>
    <row r="98" ht="14.25" customHeight="1" spans="3:14">
      <c r="C98" s="25">
        <v>88</v>
      </c>
      <c r="D98" s="5" t="s">
        <v>200</v>
      </c>
      <c r="E98" s="13" t="s">
        <v>201</v>
      </c>
      <c r="F98" s="26">
        <f>'CIE+CIA'!H98</f>
        <v>46.7</v>
      </c>
      <c r="G98" s="26">
        <f t="shared" si="2"/>
        <v>18.68</v>
      </c>
      <c r="H98" s="26">
        <f t="shared" si="3"/>
        <v>19</v>
      </c>
      <c r="N98" s="27"/>
    </row>
    <row r="99" ht="14.25" customHeight="1" spans="3:14">
      <c r="C99" s="25">
        <v>89</v>
      </c>
      <c r="D99" s="5" t="s">
        <v>202</v>
      </c>
      <c r="E99" s="13" t="s">
        <v>203</v>
      </c>
      <c r="F99" s="26">
        <f>'CIE+CIA'!H99</f>
        <v>44.9</v>
      </c>
      <c r="G99" s="26">
        <f t="shared" si="2"/>
        <v>17.96</v>
      </c>
      <c r="H99" s="26">
        <f t="shared" si="3"/>
        <v>18</v>
      </c>
      <c r="N99" s="27"/>
    </row>
    <row r="100" ht="14.25" customHeight="1" spans="3:14">
      <c r="C100" s="25">
        <v>90</v>
      </c>
      <c r="D100" s="5" t="s">
        <v>204</v>
      </c>
      <c r="E100" s="13" t="s">
        <v>205</v>
      </c>
      <c r="F100" s="26">
        <f>'CIE+CIA'!H100</f>
        <v>46.1</v>
      </c>
      <c r="G100" s="26">
        <f t="shared" si="2"/>
        <v>18.44</v>
      </c>
      <c r="H100" s="26">
        <f t="shared" si="3"/>
        <v>19</v>
      </c>
      <c r="N100" s="27"/>
    </row>
    <row r="101" ht="14.25" customHeight="1" spans="3:14">
      <c r="C101" s="25">
        <v>91</v>
      </c>
      <c r="D101" s="5" t="s">
        <v>206</v>
      </c>
      <c r="E101" s="13" t="s">
        <v>207</v>
      </c>
      <c r="F101" s="26">
        <f>'CIE+CIA'!H101</f>
        <v>48.3</v>
      </c>
      <c r="G101" s="26">
        <f t="shared" si="2"/>
        <v>19.32</v>
      </c>
      <c r="H101" s="26">
        <f t="shared" si="3"/>
        <v>20</v>
      </c>
      <c r="N101" s="27"/>
    </row>
    <row r="102" ht="14.25" customHeight="1" spans="3:14">
      <c r="C102" s="25">
        <v>92</v>
      </c>
      <c r="D102" s="5" t="s">
        <v>208</v>
      </c>
      <c r="E102" s="13" t="s">
        <v>209</v>
      </c>
      <c r="F102" s="26">
        <f>'CIE+CIA'!H102</f>
        <v>45.8</v>
      </c>
      <c r="G102" s="26">
        <f t="shared" si="2"/>
        <v>18.32</v>
      </c>
      <c r="H102" s="26">
        <f t="shared" si="3"/>
        <v>19</v>
      </c>
      <c r="N102" s="27"/>
    </row>
    <row r="103" ht="14.25" customHeight="1" spans="3:14">
      <c r="C103" s="25">
        <v>93</v>
      </c>
      <c r="D103" s="5" t="s">
        <v>210</v>
      </c>
      <c r="E103" s="13" t="s">
        <v>211</v>
      </c>
      <c r="F103" s="26" t="e">
        <f>'CIE+CIA'!H103</f>
        <v>#DIV/0!</v>
      </c>
      <c r="G103" s="26" t="e">
        <f t="shared" si="2"/>
        <v>#DIV/0!</v>
      </c>
      <c r="H103" s="26" t="e">
        <f t="shared" si="3"/>
        <v>#DIV/0!</v>
      </c>
      <c r="N103" s="27"/>
    </row>
    <row r="104" ht="14.25" customHeight="1" spans="3:14">
      <c r="C104" s="25">
        <v>94</v>
      </c>
      <c r="D104" s="5" t="s">
        <v>212</v>
      </c>
      <c r="E104" s="13" t="s">
        <v>213</v>
      </c>
      <c r="F104" s="26">
        <f>'CIE+CIA'!H104</f>
        <v>47.2</v>
      </c>
      <c r="G104" s="26">
        <f t="shared" si="2"/>
        <v>18.88</v>
      </c>
      <c r="H104" s="26">
        <f t="shared" si="3"/>
        <v>19</v>
      </c>
      <c r="N104" s="27"/>
    </row>
    <row r="105" ht="14.25" customHeight="1" spans="3:14">
      <c r="C105" s="25">
        <v>95</v>
      </c>
      <c r="D105" s="5" t="s">
        <v>214</v>
      </c>
      <c r="E105" s="13" t="s">
        <v>215</v>
      </c>
      <c r="F105" s="26">
        <f>'CIE+CIA'!H105</f>
        <v>44.8</v>
      </c>
      <c r="G105" s="26">
        <f t="shared" si="2"/>
        <v>17.92</v>
      </c>
      <c r="H105" s="26">
        <f t="shared" si="3"/>
        <v>18</v>
      </c>
      <c r="N105" s="27"/>
    </row>
    <row r="106" ht="14.25" customHeight="1" spans="3:14">
      <c r="C106" s="25">
        <v>96</v>
      </c>
      <c r="D106" s="5" t="s">
        <v>216</v>
      </c>
      <c r="E106" s="13" t="s">
        <v>217</v>
      </c>
      <c r="F106" s="26">
        <f>'CIE+CIA'!H106</f>
        <v>45.6</v>
      </c>
      <c r="G106" s="26">
        <f t="shared" si="2"/>
        <v>18.24</v>
      </c>
      <c r="H106" s="26">
        <f t="shared" si="3"/>
        <v>19</v>
      </c>
      <c r="N106" s="27"/>
    </row>
    <row r="107" ht="14.25" customHeight="1" spans="3:14">
      <c r="C107" s="25">
        <v>97</v>
      </c>
      <c r="D107" s="5" t="s">
        <v>218</v>
      </c>
      <c r="E107" s="13" t="s">
        <v>219</v>
      </c>
      <c r="F107" s="26">
        <f>'CIE+CIA'!H107</f>
        <v>46.4</v>
      </c>
      <c r="G107" s="26">
        <f t="shared" si="2"/>
        <v>18.56</v>
      </c>
      <c r="H107" s="26">
        <f t="shared" si="3"/>
        <v>19</v>
      </c>
      <c r="N107" s="27"/>
    </row>
    <row r="108" ht="14.25" customHeight="1" spans="3:14">
      <c r="C108" s="25">
        <v>98</v>
      </c>
      <c r="D108" s="5" t="s">
        <v>220</v>
      </c>
      <c r="E108" s="13" t="s">
        <v>221</v>
      </c>
      <c r="F108" s="26">
        <f>'CIE+CIA'!H108</f>
        <v>47.2</v>
      </c>
      <c r="G108" s="26">
        <f t="shared" si="2"/>
        <v>18.88</v>
      </c>
      <c r="H108" s="26">
        <f t="shared" si="3"/>
        <v>19</v>
      </c>
      <c r="N108" s="27"/>
    </row>
    <row r="109" ht="14.25" customHeight="1" spans="3:14">
      <c r="C109" s="25">
        <v>99</v>
      </c>
      <c r="D109" s="5" t="s">
        <v>222</v>
      </c>
      <c r="E109" s="13" t="s">
        <v>223</v>
      </c>
      <c r="F109" s="26">
        <f>'CIE+CIA'!H109</f>
        <v>48.4</v>
      </c>
      <c r="G109" s="26">
        <f t="shared" si="2"/>
        <v>19.36</v>
      </c>
      <c r="H109" s="26">
        <f t="shared" si="3"/>
        <v>20</v>
      </c>
      <c r="N109" s="27"/>
    </row>
    <row r="110" ht="14.25" customHeight="1" spans="3:14">
      <c r="C110" s="25">
        <v>100</v>
      </c>
      <c r="D110" s="5" t="s">
        <v>224</v>
      </c>
      <c r="E110" s="13" t="s">
        <v>225</v>
      </c>
      <c r="F110" s="26">
        <f>'CIE+CIA'!H110</f>
        <v>49.2</v>
      </c>
      <c r="G110" s="26">
        <f t="shared" si="2"/>
        <v>19.68</v>
      </c>
      <c r="H110" s="26">
        <f t="shared" si="3"/>
        <v>20</v>
      </c>
      <c r="N110" s="27"/>
    </row>
    <row r="111" ht="14.25" customHeight="1" spans="3:14">
      <c r="C111" s="25">
        <v>101</v>
      </c>
      <c r="D111" s="5" t="s">
        <v>226</v>
      </c>
      <c r="E111" s="13" t="s">
        <v>227</v>
      </c>
      <c r="F111" s="26">
        <f>'CIE+CIA'!H111</f>
        <v>46.2</v>
      </c>
      <c r="G111" s="26">
        <f t="shared" si="2"/>
        <v>18.48</v>
      </c>
      <c r="H111" s="26">
        <f t="shared" si="3"/>
        <v>19</v>
      </c>
      <c r="N111" s="27"/>
    </row>
    <row r="112" ht="14.25" customHeight="1" spans="3:14">
      <c r="C112" s="25">
        <v>102</v>
      </c>
      <c r="D112" s="5" t="s">
        <v>228</v>
      </c>
      <c r="E112" s="13" t="s">
        <v>229</v>
      </c>
      <c r="F112" s="26">
        <f>'CIE+CIA'!H112</f>
        <v>47.2</v>
      </c>
      <c r="G112" s="26">
        <f t="shared" si="2"/>
        <v>18.88</v>
      </c>
      <c r="H112" s="26">
        <f t="shared" si="3"/>
        <v>19</v>
      </c>
      <c r="N112" s="27"/>
    </row>
    <row r="113" ht="14.25" customHeight="1" spans="3:14">
      <c r="C113" s="25">
        <v>103</v>
      </c>
      <c r="D113" s="5" t="s">
        <v>230</v>
      </c>
      <c r="E113" s="13" t="s">
        <v>231</v>
      </c>
      <c r="F113" s="26">
        <f>'CIE+CIA'!H113</f>
        <v>48.2</v>
      </c>
      <c r="G113" s="26">
        <f t="shared" si="2"/>
        <v>19.28</v>
      </c>
      <c r="H113" s="26">
        <f t="shared" si="3"/>
        <v>20</v>
      </c>
      <c r="N113" s="27"/>
    </row>
    <row r="114" ht="14.25" customHeight="1" spans="3:14">
      <c r="C114" s="25">
        <v>104</v>
      </c>
      <c r="D114" s="5" t="s">
        <v>232</v>
      </c>
      <c r="E114" s="13" t="s">
        <v>233</v>
      </c>
      <c r="F114" s="26">
        <f>'CIE+CIA'!H114</f>
        <v>48.2</v>
      </c>
      <c r="G114" s="26">
        <f t="shared" si="2"/>
        <v>19.28</v>
      </c>
      <c r="H114" s="26">
        <f t="shared" si="3"/>
        <v>20</v>
      </c>
      <c r="N114" s="27"/>
    </row>
    <row r="115" ht="14.25" customHeight="1" spans="3:14">
      <c r="C115" s="25">
        <v>105</v>
      </c>
      <c r="D115" s="5" t="s">
        <v>234</v>
      </c>
      <c r="E115" s="13" t="s">
        <v>235</v>
      </c>
      <c r="F115" s="26">
        <f>'CIE+CIA'!H115</f>
        <v>48.6</v>
      </c>
      <c r="G115" s="26">
        <f t="shared" si="2"/>
        <v>19.44</v>
      </c>
      <c r="H115" s="26">
        <f t="shared" si="3"/>
        <v>20</v>
      </c>
      <c r="N115" s="27"/>
    </row>
    <row r="116" ht="14.25" customHeight="1" spans="3:14">
      <c r="C116" s="25">
        <v>106</v>
      </c>
      <c r="D116" s="5" t="s">
        <v>236</v>
      </c>
      <c r="E116" s="13" t="s">
        <v>237</v>
      </c>
      <c r="F116" s="26">
        <f>'CIE+CIA'!H116</f>
        <v>47.8</v>
      </c>
      <c r="G116" s="26">
        <f t="shared" si="2"/>
        <v>19.12</v>
      </c>
      <c r="H116" s="26">
        <f t="shared" si="3"/>
        <v>20</v>
      </c>
      <c r="N116" s="27"/>
    </row>
    <row r="117" ht="14.25" customHeight="1" spans="3:14">
      <c r="C117" s="25">
        <v>107</v>
      </c>
      <c r="D117" s="5" t="s">
        <v>238</v>
      </c>
      <c r="E117" s="13" t="s">
        <v>239</v>
      </c>
      <c r="F117" s="26">
        <f>'CIE+CIA'!H117</f>
        <v>47.6</v>
      </c>
      <c r="G117" s="26">
        <f t="shared" si="2"/>
        <v>19.04</v>
      </c>
      <c r="H117" s="26">
        <f t="shared" si="3"/>
        <v>20</v>
      </c>
      <c r="N117" s="27"/>
    </row>
    <row r="118" ht="14.25" customHeight="1" spans="3:14">
      <c r="C118" s="25">
        <v>108</v>
      </c>
      <c r="D118" s="5" t="s">
        <v>240</v>
      </c>
      <c r="E118" s="13" t="s">
        <v>241</v>
      </c>
      <c r="F118" s="26">
        <f>'CIE+CIA'!H118</f>
        <v>48.4</v>
      </c>
      <c r="G118" s="26">
        <f t="shared" si="2"/>
        <v>19.36</v>
      </c>
      <c r="H118" s="26">
        <f t="shared" si="3"/>
        <v>20</v>
      </c>
      <c r="N118" s="27"/>
    </row>
    <row r="119" ht="14.25" customHeight="1" spans="3:14">
      <c r="C119" s="25">
        <v>109</v>
      </c>
      <c r="D119" s="5" t="s">
        <v>242</v>
      </c>
      <c r="E119" s="13" t="s">
        <v>243</v>
      </c>
      <c r="F119" s="26">
        <f>'CIE+CIA'!H119</f>
        <v>48.4</v>
      </c>
      <c r="G119" s="26">
        <f t="shared" si="2"/>
        <v>19.36</v>
      </c>
      <c r="H119" s="26">
        <f t="shared" si="3"/>
        <v>20</v>
      </c>
      <c r="N119" s="27"/>
    </row>
    <row r="120" ht="14.25" customHeight="1" spans="3:14">
      <c r="C120" s="25">
        <v>110</v>
      </c>
      <c r="D120" s="5" t="s">
        <v>244</v>
      </c>
      <c r="E120" s="13" t="s">
        <v>245</v>
      </c>
      <c r="F120" s="26">
        <f>'CIE+CIA'!H120</f>
        <v>48.4</v>
      </c>
      <c r="G120" s="26">
        <f t="shared" si="2"/>
        <v>19.36</v>
      </c>
      <c r="H120" s="26">
        <f t="shared" si="3"/>
        <v>20</v>
      </c>
      <c r="N120" s="27"/>
    </row>
    <row r="121" ht="14.25" customHeight="1" spans="3:14">
      <c r="C121" s="25">
        <v>111</v>
      </c>
      <c r="D121" s="5" t="s">
        <v>246</v>
      </c>
      <c r="E121" s="13" t="s">
        <v>247</v>
      </c>
      <c r="F121" s="26">
        <f>'CIE+CIA'!H121</f>
        <v>47.2</v>
      </c>
      <c r="G121" s="26">
        <f t="shared" si="2"/>
        <v>18.88</v>
      </c>
      <c r="H121" s="26">
        <f t="shared" si="3"/>
        <v>19</v>
      </c>
      <c r="N121" s="27"/>
    </row>
    <row r="122" ht="14.25" customHeight="1" spans="3:14">
      <c r="C122" s="25">
        <v>112</v>
      </c>
      <c r="D122" s="5" t="s">
        <v>248</v>
      </c>
      <c r="E122" s="13" t="s">
        <v>249</v>
      </c>
      <c r="F122" s="26">
        <f>'CIE+CIA'!H122</f>
        <v>46.6</v>
      </c>
      <c r="G122" s="26">
        <f t="shared" si="2"/>
        <v>18.64</v>
      </c>
      <c r="H122" s="26">
        <f t="shared" si="3"/>
        <v>19</v>
      </c>
      <c r="N122" s="27"/>
    </row>
    <row r="123" ht="14.25" customHeight="1" spans="3:14">
      <c r="C123" s="25">
        <v>113</v>
      </c>
      <c r="D123" s="5" t="s">
        <v>250</v>
      </c>
      <c r="E123" s="13" t="s">
        <v>251</v>
      </c>
      <c r="F123" s="26">
        <f>'CIE+CIA'!H123</f>
        <v>47.1</v>
      </c>
      <c r="G123" s="26">
        <f t="shared" si="2"/>
        <v>18.84</v>
      </c>
      <c r="H123" s="26">
        <f t="shared" si="3"/>
        <v>19</v>
      </c>
      <c r="N123" s="27"/>
    </row>
    <row r="124" ht="14.25" customHeight="1" spans="3:14">
      <c r="C124" s="25">
        <v>114</v>
      </c>
      <c r="D124" s="5" t="s">
        <v>252</v>
      </c>
      <c r="E124" s="13" t="s">
        <v>253</v>
      </c>
      <c r="F124" s="26">
        <f>'CIE+CIA'!H124</f>
        <v>44.9</v>
      </c>
      <c r="G124" s="26">
        <f t="shared" si="2"/>
        <v>17.96</v>
      </c>
      <c r="H124" s="26">
        <f t="shared" si="3"/>
        <v>18</v>
      </c>
      <c r="N124" s="27"/>
    </row>
    <row r="125" ht="14.25" customHeight="1" spans="3:14">
      <c r="C125" s="25">
        <v>115</v>
      </c>
      <c r="D125" s="5" t="s">
        <v>254</v>
      </c>
      <c r="E125" s="13" t="s">
        <v>255</v>
      </c>
      <c r="F125" s="26">
        <f>'CIE+CIA'!H125</f>
        <v>48.8</v>
      </c>
      <c r="G125" s="26">
        <f t="shared" si="2"/>
        <v>19.52</v>
      </c>
      <c r="H125" s="26">
        <f t="shared" si="3"/>
        <v>20</v>
      </c>
      <c r="N125" s="27"/>
    </row>
    <row r="126" ht="14.25" customHeight="1" spans="3:14">
      <c r="C126" s="25">
        <v>116</v>
      </c>
      <c r="D126" s="5" t="s">
        <v>256</v>
      </c>
      <c r="E126" s="13" t="s">
        <v>257</v>
      </c>
      <c r="F126" s="26">
        <f>'CIE+CIA'!H126</f>
        <v>46</v>
      </c>
      <c r="G126" s="26">
        <f t="shared" si="2"/>
        <v>18.4</v>
      </c>
      <c r="H126" s="26">
        <f t="shared" si="3"/>
        <v>19</v>
      </c>
      <c r="N126" s="27"/>
    </row>
    <row r="127" ht="14.25" customHeight="1" spans="3:14">
      <c r="C127" s="25">
        <v>117</v>
      </c>
      <c r="D127" s="5" t="s">
        <v>258</v>
      </c>
      <c r="E127" s="13" t="s">
        <v>259</v>
      </c>
      <c r="F127" s="26">
        <f>'CIE+CIA'!H127</f>
        <v>47.6</v>
      </c>
      <c r="G127" s="26">
        <f t="shared" si="2"/>
        <v>19.04</v>
      </c>
      <c r="H127" s="26">
        <f t="shared" si="3"/>
        <v>20</v>
      </c>
      <c r="N127" s="27"/>
    </row>
    <row r="128" ht="14.25" customHeight="1" spans="3:14">
      <c r="C128" s="25">
        <v>118</v>
      </c>
      <c r="D128" s="5" t="s">
        <v>260</v>
      </c>
      <c r="E128" s="13" t="s">
        <v>261</v>
      </c>
      <c r="F128" s="26">
        <f>'CIE+CIA'!H128</f>
        <v>47.2</v>
      </c>
      <c r="G128" s="26">
        <f t="shared" si="2"/>
        <v>18.88</v>
      </c>
      <c r="H128" s="26">
        <f t="shared" si="3"/>
        <v>19</v>
      </c>
      <c r="N128" s="27"/>
    </row>
    <row r="129" ht="14.25" customHeight="1" spans="3:14">
      <c r="C129" s="25">
        <v>119</v>
      </c>
      <c r="D129" s="5" t="s">
        <v>262</v>
      </c>
      <c r="E129" s="13" t="s">
        <v>263</v>
      </c>
      <c r="F129" s="26">
        <f>'CIE+CIA'!H129</f>
        <v>48</v>
      </c>
      <c r="G129" s="26">
        <f t="shared" si="2"/>
        <v>19.2</v>
      </c>
      <c r="H129" s="26">
        <f t="shared" si="3"/>
        <v>20</v>
      </c>
      <c r="N129" s="27"/>
    </row>
    <row r="130" ht="14.25" customHeight="1" spans="3:14">
      <c r="C130" s="25">
        <v>120</v>
      </c>
      <c r="D130" s="5" t="s">
        <v>264</v>
      </c>
      <c r="E130" s="13" t="s">
        <v>265</v>
      </c>
      <c r="F130" s="26">
        <f>'CIE+CIA'!H130</f>
        <v>48</v>
      </c>
      <c r="G130" s="26">
        <f t="shared" si="2"/>
        <v>19.2</v>
      </c>
      <c r="H130" s="26">
        <f t="shared" si="3"/>
        <v>20</v>
      </c>
      <c r="N130" s="27"/>
    </row>
    <row r="131" ht="14.25" customHeight="1" spans="3:14">
      <c r="C131" s="25">
        <v>121</v>
      </c>
      <c r="D131" s="5" t="s">
        <v>266</v>
      </c>
      <c r="E131" s="13" t="s">
        <v>267</v>
      </c>
      <c r="F131" s="26">
        <f>'CIE+CIA'!H131</f>
        <v>46.8</v>
      </c>
      <c r="G131" s="26">
        <f t="shared" si="2"/>
        <v>18.72</v>
      </c>
      <c r="H131" s="26">
        <f t="shared" si="3"/>
        <v>19</v>
      </c>
      <c r="N131" s="27"/>
    </row>
    <row r="132" ht="14.25" customHeight="1" spans="3:14">
      <c r="C132" s="25">
        <v>122</v>
      </c>
      <c r="D132" s="5" t="s">
        <v>268</v>
      </c>
      <c r="E132" s="13" t="s">
        <v>269</v>
      </c>
      <c r="F132" s="26">
        <f>'CIE+CIA'!H132</f>
        <v>48.4</v>
      </c>
      <c r="G132" s="26">
        <f t="shared" si="2"/>
        <v>19.36</v>
      </c>
      <c r="H132" s="26">
        <f t="shared" si="3"/>
        <v>20</v>
      </c>
      <c r="N132" s="27"/>
    </row>
    <row r="133" ht="14.25" customHeight="1" spans="3:14">
      <c r="C133" s="25">
        <v>123</v>
      </c>
      <c r="D133" s="5" t="s">
        <v>270</v>
      </c>
      <c r="E133" s="13" t="s">
        <v>271</v>
      </c>
      <c r="F133" s="26">
        <f>'CIE+CIA'!H133</f>
        <v>46</v>
      </c>
      <c r="G133" s="26">
        <f t="shared" si="2"/>
        <v>18.4</v>
      </c>
      <c r="H133" s="26">
        <f t="shared" si="3"/>
        <v>19</v>
      </c>
      <c r="N133" s="27"/>
    </row>
    <row r="134" ht="14.25" customHeight="1" spans="3:14">
      <c r="C134" s="25">
        <v>124</v>
      </c>
      <c r="D134" s="5" t="s">
        <v>272</v>
      </c>
      <c r="E134" s="13" t="s">
        <v>273</v>
      </c>
      <c r="F134" s="26">
        <f>'CIE+CIA'!H134</f>
        <v>48</v>
      </c>
      <c r="G134" s="26">
        <f t="shared" si="2"/>
        <v>19.2</v>
      </c>
      <c r="H134" s="26">
        <f t="shared" si="3"/>
        <v>20</v>
      </c>
      <c r="N134" s="27"/>
    </row>
    <row r="135" ht="14.25" customHeight="1" spans="3:14">
      <c r="C135" s="25">
        <v>125</v>
      </c>
      <c r="D135" s="5" t="s">
        <v>274</v>
      </c>
      <c r="E135" s="13" t="s">
        <v>275</v>
      </c>
      <c r="F135" s="26">
        <f>'CIE+CIA'!H135</f>
        <v>30</v>
      </c>
      <c r="G135" s="26">
        <f t="shared" si="2"/>
        <v>12</v>
      </c>
      <c r="H135" s="26">
        <f t="shared" si="3"/>
        <v>12</v>
      </c>
      <c r="N135" s="27"/>
    </row>
    <row r="136" ht="14.25" customHeight="1" spans="3:14">
      <c r="C136" s="25">
        <v>126</v>
      </c>
      <c r="D136" s="5" t="s">
        <v>276</v>
      </c>
      <c r="E136" s="13" t="s">
        <v>277</v>
      </c>
      <c r="F136" s="26">
        <f>'CIE+CIA'!H136</f>
        <v>46.1</v>
      </c>
      <c r="G136" s="26">
        <f t="shared" si="2"/>
        <v>18.44</v>
      </c>
      <c r="H136" s="26">
        <f t="shared" si="3"/>
        <v>19</v>
      </c>
      <c r="N136" s="27"/>
    </row>
    <row r="137" ht="14.25" customHeight="1" spans="3:14">
      <c r="C137" s="25">
        <v>127</v>
      </c>
      <c r="D137" s="5" t="s">
        <v>278</v>
      </c>
      <c r="E137" s="13" t="s">
        <v>279</v>
      </c>
      <c r="F137" s="26">
        <f>'CIE+CIA'!H137</f>
        <v>46.8</v>
      </c>
      <c r="G137" s="26">
        <f t="shared" si="2"/>
        <v>18.72</v>
      </c>
      <c r="H137" s="26">
        <f t="shared" si="3"/>
        <v>19</v>
      </c>
      <c r="N137" s="27"/>
    </row>
    <row r="138" ht="14.25" customHeight="1" spans="3:14">
      <c r="C138" s="25">
        <v>128</v>
      </c>
      <c r="D138" s="5" t="s">
        <v>280</v>
      </c>
      <c r="E138" s="13" t="s">
        <v>281</v>
      </c>
      <c r="F138" s="26">
        <f>'CIE+CIA'!H138</f>
        <v>45.8</v>
      </c>
      <c r="G138" s="26">
        <f t="shared" si="2"/>
        <v>18.32</v>
      </c>
      <c r="H138" s="26">
        <f t="shared" si="3"/>
        <v>19</v>
      </c>
      <c r="N138" s="27"/>
    </row>
    <row r="139" ht="14.25" customHeight="1" spans="3:14">
      <c r="C139" s="25">
        <v>129</v>
      </c>
      <c r="D139" s="5" t="s">
        <v>282</v>
      </c>
      <c r="E139" s="13" t="s">
        <v>283</v>
      </c>
      <c r="F139" s="26">
        <f>'CIE+CIA'!H139</f>
        <v>48.2</v>
      </c>
      <c r="G139" s="26">
        <f t="shared" si="2"/>
        <v>19.28</v>
      </c>
      <c r="H139" s="26">
        <f t="shared" si="3"/>
        <v>20</v>
      </c>
      <c r="N139" s="27"/>
    </row>
    <row r="140" ht="14.25" customHeight="1" spans="3:14">
      <c r="C140" s="25">
        <v>130</v>
      </c>
      <c r="D140" s="5" t="s">
        <v>284</v>
      </c>
      <c r="E140" s="13" t="s">
        <v>285</v>
      </c>
      <c r="F140" s="26">
        <f>'CIE+CIA'!H140</f>
        <v>46.3</v>
      </c>
      <c r="G140" s="26">
        <f t="shared" ref="G140:G203" si="4">F140*0.4</f>
        <v>18.52</v>
      </c>
      <c r="H140" s="26">
        <f t="shared" ref="H140:H203" si="5">ROUNDUP(G140,0)</f>
        <v>19</v>
      </c>
      <c r="N140" s="27"/>
    </row>
    <row r="141" ht="14.25" customHeight="1" spans="3:14">
      <c r="C141" s="25">
        <v>131</v>
      </c>
      <c r="D141" s="5" t="s">
        <v>286</v>
      </c>
      <c r="E141" s="13" t="s">
        <v>287</v>
      </c>
      <c r="F141" s="26">
        <f>'CIE+CIA'!H141</f>
        <v>43.1</v>
      </c>
      <c r="G141" s="26">
        <f t="shared" si="4"/>
        <v>17.24</v>
      </c>
      <c r="H141" s="26">
        <f t="shared" si="5"/>
        <v>18</v>
      </c>
      <c r="N141" s="27"/>
    </row>
    <row r="142" ht="14.25" customHeight="1" spans="3:14">
      <c r="C142" s="25">
        <v>132</v>
      </c>
      <c r="D142" s="5" t="s">
        <v>288</v>
      </c>
      <c r="E142" s="13" t="s">
        <v>289</v>
      </c>
      <c r="F142" s="26">
        <f>'CIE+CIA'!H142</f>
        <v>48</v>
      </c>
      <c r="G142" s="26">
        <f t="shared" si="4"/>
        <v>19.2</v>
      </c>
      <c r="H142" s="26">
        <f t="shared" si="5"/>
        <v>20</v>
      </c>
      <c r="N142" s="27"/>
    </row>
    <row r="143" ht="14.25" customHeight="1" spans="3:14">
      <c r="C143" s="25">
        <v>133</v>
      </c>
      <c r="D143" s="5" t="s">
        <v>290</v>
      </c>
      <c r="E143" s="13" t="s">
        <v>291</v>
      </c>
      <c r="F143" s="26">
        <f>'CIE+CIA'!H143</f>
        <v>0</v>
      </c>
      <c r="G143" s="26">
        <f t="shared" si="4"/>
        <v>0</v>
      </c>
      <c r="H143" s="26">
        <f t="shared" si="5"/>
        <v>0</v>
      </c>
      <c r="N143" s="27"/>
    </row>
    <row r="144" ht="14.25" customHeight="1" spans="3:14">
      <c r="C144" s="25">
        <v>134</v>
      </c>
      <c r="D144" s="5" t="s">
        <v>292</v>
      </c>
      <c r="E144" s="13" t="s">
        <v>293</v>
      </c>
      <c r="F144" s="26">
        <f>'CIE+CIA'!H144</f>
        <v>44.8</v>
      </c>
      <c r="G144" s="26">
        <f t="shared" si="4"/>
        <v>17.92</v>
      </c>
      <c r="H144" s="26">
        <f t="shared" si="5"/>
        <v>18</v>
      </c>
      <c r="N144" s="27"/>
    </row>
    <row r="145" ht="14.25" customHeight="1" spans="3:14">
      <c r="C145" s="25">
        <v>135</v>
      </c>
      <c r="D145" s="5" t="s">
        <v>295</v>
      </c>
      <c r="E145" s="13" t="s">
        <v>296</v>
      </c>
      <c r="F145" s="26">
        <f>'CIE+CIA'!H145</f>
        <v>47</v>
      </c>
      <c r="G145" s="26">
        <f t="shared" si="4"/>
        <v>18.8</v>
      </c>
      <c r="H145" s="26">
        <f t="shared" si="5"/>
        <v>19</v>
      </c>
      <c r="N145" s="27"/>
    </row>
    <row r="146" ht="14.25" customHeight="1" spans="3:14">
      <c r="C146" s="25">
        <v>136</v>
      </c>
      <c r="D146" s="5" t="s">
        <v>297</v>
      </c>
      <c r="E146" s="13" t="s">
        <v>298</v>
      </c>
      <c r="F146" s="26">
        <f>'CIE+CIA'!H146</f>
        <v>46.1</v>
      </c>
      <c r="G146" s="26">
        <f t="shared" si="4"/>
        <v>18.44</v>
      </c>
      <c r="H146" s="26">
        <f t="shared" si="5"/>
        <v>19</v>
      </c>
      <c r="N146" s="27"/>
    </row>
    <row r="147" ht="14.25" customHeight="1" spans="3:14">
      <c r="C147" s="25">
        <v>137</v>
      </c>
      <c r="D147" s="5" t="s">
        <v>299</v>
      </c>
      <c r="E147" s="13" t="s">
        <v>300</v>
      </c>
      <c r="F147" s="26">
        <f>'CIE+CIA'!H147</f>
        <v>49</v>
      </c>
      <c r="G147" s="26">
        <f t="shared" si="4"/>
        <v>19.6</v>
      </c>
      <c r="H147" s="26">
        <f t="shared" si="5"/>
        <v>20</v>
      </c>
      <c r="N147" s="27"/>
    </row>
    <row r="148" ht="14.25" customHeight="1" spans="3:14">
      <c r="C148" s="25">
        <v>138</v>
      </c>
      <c r="D148" s="5" t="s">
        <v>301</v>
      </c>
      <c r="E148" s="13" t="s">
        <v>302</v>
      </c>
      <c r="F148" s="26">
        <f>'CIE+CIA'!H148</f>
        <v>48.4</v>
      </c>
      <c r="G148" s="26">
        <f t="shared" si="4"/>
        <v>19.36</v>
      </c>
      <c r="H148" s="26">
        <f t="shared" si="5"/>
        <v>20</v>
      </c>
      <c r="N148" s="27"/>
    </row>
    <row r="149" ht="14.25" customHeight="1" spans="3:14">
      <c r="C149" s="25">
        <v>139</v>
      </c>
      <c r="D149" s="5" t="s">
        <v>303</v>
      </c>
      <c r="E149" s="13" t="s">
        <v>304</v>
      </c>
      <c r="F149" s="26">
        <f>'CIE+CIA'!H149</f>
        <v>44.8</v>
      </c>
      <c r="G149" s="26">
        <f t="shared" si="4"/>
        <v>17.92</v>
      </c>
      <c r="H149" s="26">
        <f t="shared" si="5"/>
        <v>18</v>
      </c>
      <c r="N149" s="27"/>
    </row>
    <row r="150" ht="14.25" customHeight="1" spans="3:14">
      <c r="C150" s="25">
        <v>140</v>
      </c>
      <c r="D150" s="5" t="s">
        <v>305</v>
      </c>
      <c r="E150" s="13" t="s">
        <v>306</v>
      </c>
      <c r="F150" s="26">
        <f>'CIE+CIA'!H150</f>
        <v>47.5</v>
      </c>
      <c r="G150" s="26">
        <f t="shared" si="4"/>
        <v>19</v>
      </c>
      <c r="H150" s="26">
        <f t="shared" si="5"/>
        <v>19</v>
      </c>
      <c r="N150" s="27"/>
    </row>
    <row r="151" ht="14.25" customHeight="1" spans="3:14">
      <c r="C151" s="25">
        <v>141</v>
      </c>
      <c r="D151" s="5" t="s">
        <v>307</v>
      </c>
      <c r="E151" s="13" t="s">
        <v>308</v>
      </c>
      <c r="F151" s="26">
        <f>'CIE+CIA'!H151</f>
        <v>47.3</v>
      </c>
      <c r="G151" s="26">
        <f t="shared" si="4"/>
        <v>18.92</v>
      </c>
      <c r="H151" s="26">
        <f t="shared" si="5"/>
        <v>19</v>
      </c>
      <c r="N151" s="27"/>
    </row>
    <row r="152" ht="14.25" customHeight="1" spans="3:14">
      <c r="C152" s="25">
        <v>142</v>
      </c>
      <c r="D152" s="5" t="s">
        <v>309</v>
      </c>
      <c r="E152" s="13" t="s">
        <v>310</v>
      </c>
      <c r="F152" s="26">
        <f>'CIE+CIA'!H152</f>
        <v>49</v>
      </c>
      <c r="G152" s="26">
        <f t="shared" si="4"/>
        <v>19.6</v>
      </c>
      <c r="H152" s="26">
        <f t="shared" si="5"/>
        <v>20</v>
      </c>
      <c r="N152" s="27"/>
    </row>
    <row r="153" ht="14.25" customHeight="1" spans="3:8">
      <c r="C153" s="25">
        <v>143</v>
      </c>
      <c r="D153" s="5" t="s">
        <v>311</v>
      </c>
      <c r="E153" s="13" t="s">
        <v>312</v>
      </c>
      <c r="F153" s="26">
        <f>'CIE+CIA'!H153</f>
        <v>46</v>
      </c>
      <c r="G153" s="26">
        <f t="shared" si="4"/>
        <v>18.4</v>
      </c>
      <c r="H153" s="26">
        <f t="shared" si="5"/>
        <v>19</v>
      </c>
    </row>
    <row r="154" ht="14.25" customHeight="1" spans="3:8">
      <c r="C154" s="25">
        <v>144</v>
      </c>
      <c r="D154" s="5" t="s">
        <v>313</v>
      </c>
      <c r="E154" s="13" t="s">
        <v>314</v>
      </c>
      <c r="F154" s="26">
        <f>'CIE+CIA'!H154</f>
        <v>46.5</v>
      </c>
      <c r="G154" s="26">
        <f t="shared" si="4"/>
        <v>18.6</v>
      </c>
      <c r="H154" s="26">
        <f t="shared" si="5"/>
        <v>19</v>
      </c>
    </row>
    <row r="155" ht="14.25" customHeight="1" spans="3:8">
      <c r="C155" s="25">
        <v>145</v>
      </c>
      <c r="D155" s="5" t="s">
        <v>315</v>
      </c>
      <c r="E155" s="13" t="s">
        <v>316</v>
      </c>
      <c r="F155" s="26">
        <f>'CIE+CIA'!H155</f>
        <v>46.6</v>
      </c>
      <c r="G155" s="26">
        <f t="shared" si="4"/>
        <v>18.64</v>
      </c>
      <c r="H155" s="26">
        <f t="shared" si="5"/>
        <v>19</v>
      </c>
    </row>
    <row r="156" ht="14.25" customHeight="1" spans="3:8">
      <c r="C156" s="25">
        <v>146</v>
      </c>
      <c r="D156" s="5" t="s">
        <v>317</v>
      </c>
      <c r="E156" s="13" t="s">
        <v>318</v>
      </c>
      <c r="F156" s="26">
        <f>'CIE+CIA'!H156</f>
        <v>44.6</v>
      </c>
      <c r="G156" s="26">
        <f t="shared" si="4"/>
        <v>17.84</v>
      </c>
      <c r="H156" s="26">
        <f t="shared" si="5"/>
        <v>18</v>
      </c>
    </row>
    <row r="157" ht="14.25" customHeight="1" spans="3:8">
      <c r="C157" s="25">
        <v>147</v>
      </c>
      <c r="D157" s="5" t="s">
        <v>319</v>
      </c>
      <c r="E157" s="13" t="s">
        <v>320</v>
      </c>
      <c r="F157" s="26">
        <f>'CIE+CIA'!H157</f>
        <v>45.2</v>
      </c>
      <c r="G157" s="26">
        <f t="shared" si="4"/>
        <v>18.08</v>
      </c>
      <c r="H157" s="26">
        <f t="shared" si="5"/>
        <v>19</v>
      </c>
    </row>
    <row r="158" ht="14.25" customHeight="1" spans="3:8">
      <c r="C158" s="25">
        <v>148</v>
      </c>
      <c r="D158" s="5" t="s">
        <v>321</v>
      </c>
      <c r="E158" s="13" t="s">
        <v>322</v>
      </c>
      <c r="F158" s="26">
        <f>'CIE+CIA'!H158</f>
        <v>46.5</v>
      </c>
      <c r="G158" s="26">
        <f t="shared" si="4"/>
        <v>18.6</v>
      </c>
      <c r="H158" s="26">
        <f t="shared" si="5"/>
        <v>19</v>
      </c>
    </row>
    <row r="159" ht="14.25" customHeight="1" spans="3:8">
      <c r="C159" s="25">
        <v>149</v>
      </c>
      <c r="D159" s="5" t="s">
        <v>323</v>
      </c>
      <c r="E159" s="13" t="s">
        <v>324</v>
      </c>
      <c r="F159" s="26">
        <f>'CIE+CIA'!H159</f>
        <v>46.7</v>
      </c>
      <c r="G159" s="26">
        <f t="shared" si="4"/>
        <v>18.68</v>
      </c>
      <c r="H159" s="26">
        <f t="shared" si="5"/>
        <v>19</v>
      </c>
    </row>
    <row r="160" ht="14.25" customHeight="1" spans="3:8">
      <c r="C160" s="25">
        <v>150</v>
      </c>
      <c r="D160" s="5" t="s">
        <v>325</v>
      </c>
      <c r="E160" s="13" t="s">
        <v>326</v>
      </c>
      <c r="F160" s="26">
        <f>'CIE+CIA'!H160</f>
        <v>46.7</v>
      </c>
      <c r="G160" s="26">
        <f t="shared" si="4"/>
        <v>18.68</v>
      </c>
      <c r="H160" s="26">
        <f t="shared" si="5"/>
        <v>19</v>
      </c>
    </row>
    <row r="161" ht="14.25" customHeight="1" spans="3:8">
      <c r="C161" s="25">
        <v>151</v>
      </c>
      <c r="D161" s="5" t="s">
        <v>327</v>
      </c>
      <c r="E161" s="13" t="s">
        <v>328</v>
      </c>
      <c r="F161" s="26">
        <f>'CIE+CIA'!H161</f>
        <v>44</v>
      </c>
      <c r="G161" s="26">
        <f t="shared" si="4"/>
        <v>17.6</v>
      </c>
      <c r="H161" s="26">
        <f t="shared" si="5"/>
        <v>18</v>
      </c>
    </row>
    <row r="162" ht="14.25" customHeight="1" spans="3:8">
      <c r="C162" s="25">
        <v>152</v>
      </c>
      <c r="D162" s="5" t="s">
        <v>329</v>
      </c>
      <c r="E162" s="13" t="s">
        <v>330</v>
      </c>
      <c r="F162" s="26">
        <f>'CIE+CIA'!H162</f>
        <v>45.1</v>
      </c>
      <c r="G162" s="26">
        <f t="shared" si="4"/>
        <v>18.04</v>
      </c>
      <c r="H162" s="26">
        <f t="shared" si="5"/>
        <v>19</v>
      </c>
    </row>
    <row r="163" ht="14.25" customHeight="1" spans="3:8">
      <c r="C163" s="25">
        <v>153</v>
      </c>
      <c r="D163" s="5" t="s">
        <v>331</v>
      </c>
      <c r="E163" s="13" t="s">
        <v>332</v>
      </c>
      <c r="F163" s="26">
        <f>'CIE+CIA'!H163</f>
        <v>44.1</v>
      </c>
      <c r="G163" s="26">
        <f t="shared" si="4"/>
        <v>17.64</v>
      </c>
      <c r="H163" s="26">
        <f t="shared" si="5"/>
        <v>18</v>
      </c>
    </row>
    <row r="164" ht="14.25" customHeight="1" spans="3:8">
      <c r="C164" s="25">
        <v>154</v>
      </c>
      <c r="D164" s="5" t="s">
        <v>333</v>
      </c>
      <c r="E164" s="13" t="s">
        <v>334</v>
      </c>
      <c r="F164" s="26">
        <f>'CIE+CIA'!H164</f>
        <v>44.8</v>
      </c>
      <c r="G164" s="26">
        <f t="shared" si="4"/>
        <v>17.92</v>
      </c>
      <c r="H164" s="26">
        <f t="shared" si="5"/>
        <v>18</v>
      </c>
    </row>
    <row r="165" ht="14.25" customHeight="1" spans="3:8">
      <c r="C165" s="25">
        <v>155</v>
      </c>
      <c r="D165" s="5" t="s">
        <v>335</v>
      </c>
      <c r="E165" s="13" t="s">
        <v>336</v>
      </c>
      <c r="F165" s="26">
        <f>'CIE+CIA'!H165</f>
        <v>44.8</v>
      </c>
      <c r="G165" s="26">
        <f t="shared" si="4"/>
        <v>17.92</v>
      </c>
      <c r="H165" s="26">
        <f t="shared" si="5"/>
        <v>18</v>
      </c>
    </row>
    <row r="166" ht="14.25" customHeight="1" spans="3:8">
      <c r="C166" s="25">
        <v>156</v>
      </c>
      <c r="D166" s="5" t="s">
        <v>337</v>
      </c>
      <c r="E166" s="13" t="s">
        <v>338</v>
      </c>
      <c r="F166" s="26">
        <f>'CIE+CIA'!H166</f>
        <v>48</v>
      </c>
      <c r="G166" s="26">
        <f t="shared" si="4"/>
        <v>19.2</v>
      </c>
      <c r="H166" s="26">
        <f t="shared" si="5"/>
        <v>20</v>
      </c>
    </row>
    <row r="167" ht="14.25" customHeight="1" spans="3:8">
      <c r="C167" s="25">
        <v>157</v>
      </c>
      <c r="D167" s="5" t="s">
        <v>339</v>
      </c>
      <c r="E167" s="13" t="s">
        <v>340</v>
      </c>
      <c r="F167" s="26">
        <f>'CIE+CIA'!H167</f>
        <v>47</v>
      </c>
      <c r="G167" s="26">
        <f t="shared" si="4"/>
        <v>18.8</v>
      </c>
      <c r="H167" s="26">
        <f t="shared" si="5"/>
        <v>19</v>
      </c>
    </row>
    <row r="168" ht="14.25" customHeight="1" spans="3:8">
      <c r="C168" s="25">
        <v>158</v>
      </c>
      <c r="D168" s="5" t="s">
        <v>341</v>
      </c>
      <c r="E168" s="13" t="s">
        <v>342</v>
      </c>
      <c r="F168" s="26">
        <f>'CIE+CIA'!H168</f>
        <v>44.9</v>
      </c>
      <c r="G168" s="26">
        <f t="shared" si="4"/>
        <v>17.96</v>
      </c>
      <c r="H168" s="26">
        <f t="shared" si="5"/>
        <v>18</v>
      </c>
    </row>
    <row r="169" ht="14.25" customHeight="1" spans="3:8">
      <c r="C169" s="25">
        <v>159</v>
      </c>
      <c r="D169" s="5" t="s">
        <v>343</v>
      </c>
      <c r="E169" s="13" t="s">
        <v>344</v>
      </c>
      <c r="F169" s="26">
        <f>'CIE+CIA'!H169</f>
        <v>43.1</v>
      </c>
      <c r="G169" s="26">
        <f t="shared" si="4"/>
        <v>17.24</v>
      </c>
      <c r="H169" s="26">
        <f t="shared" si="5"/>
        <v>18</v>
      </c>
    </row>
    <row r="170" ht="14.25" customHeight="1" spans="3:8">
      <c r="C170" s="25">
        <v>160</v>
      </c>
      <c r="D170" s="5" t="s">
        <v>345</v>
      </c>
      <c r="E170" s="13" t="s">
        <v>346</v>
      </c>
      <c r="F170" s="26">
        <f>'CIE+CIA'!H170</f>
        <v>44.7</v>
      </c>
      <c r="G170" s="26">
        <f t="shared" si="4"/>
        <v>17.88</v>
      </c>
      <c r="H170" s="26">
        <f t="shared" si="5"/>
        <v>18</v>
      </c>
    </row>
    <row r="171" ht="14.25" customHeight="1" spans="3:8">
      <c r="C171" s="25">
        <v>161</v>
      </c>
      <c r="D171" s="5" t="s">
        <v>347</v>
      </c>
      <c r="E171" s="13" t="s">
        <v>348</v>
      </c>
      <c r="F171" s="26">
        <f>'CIE+CIA'!H171</f>
        <v>45.1</v>
      </c>
      <c r="G171" s="26">
        <f t="shared" si="4"/>
        <v>18.04</v>
      </c>
      <c r="H171" s="26">
        <f t="shared" si="5"/>
        <v>19</v>
      </c>
    </row>
    <row r="172" ht="14.25" customHeight="1" spans="3:8">
      <c r="C172" s="25">
        <v>162</v>
      </c>
      <c r="D172" s="5" t="s">
        <v>349</v>
      </c>
      <c r="E172" s="13" t="s">
        <v>350</v>
      </c>
      <c r="F172" s="26">
        <f>'CIE+CIA'!H172</f>
        <v>47.7</v>
      </c>
      <c r="G172" s="26">
        <f t="shared" si="4"/>
        <v>19.08</v>
      </c>
      <c r="H172" s="26">
        <f t="shared" si="5"/>
        <v>20</v>
      </c>
    </row>
    <row r="173" ht="14.25" customHeight="1" spans="3:8">
      <c r="C173" s="25">
        <v>163</v>
      </c>
      <c r="D173" s="5" t="s">
        <v>351</v>
      </c>
      <c r="E173" s="13" t="s">
        <v>352</v>
      </c>
      <c r="F173" s="26">
        <f>'CIE+CIA'!H173</f>
        <v>46.3</v>
      </c>
      <c r="G173" s="26">
        <f t="shared" si="4"/>
        <v>18.52</v>
      </c>
      <c r="H173" s="26">
        <f t="shared" si="5"/>
        <v>19</v>
      </c>
    </row>
    <row r="174" ht="14.25" customHeight="1" spans="3:8">
      <c r="C174" s="25">
        <v>164</v>
      </c>
      <c r="D174" s="5" t="s">
        <v>353</v>
      </c>
      <c r="E174" s="13" t="s">
        <v>354</v>
      </c>
      <c r="F174" s="26">
        <f>'CIE+CIA'!H174</f>
        <v>45.4</v>
      </c>
      <c r="G174" s="26">
        <f t="shared" si="4"/>
        <v>18.16</v>
      </c>
      <c r="H174" s="26">
        <f t="shared" si="5"/>
        <v>19</v>
      </c>
    </row>
    <row r="175" ht="14.25" customHeight="1" spans="3:8">
      <c r="C175" s="25">
        <v>165</v>
      </c>
      <c r="D175" s="5" t="s">
        <v>355</v>
      </c>
      <c r="E175" s="13" t="s">
        <v>356</v>
      </c>
      <c r="F175" s="26">
        <f>'CIE+CIA'!H175</f>
        <v>48</v>
      </c>
      <c r="G175" s="26">
        <f t="shared" si="4"/>
        <v>19.2</v>
      </c>
      <c r="H175" s="26">
        <f t="shared" si="5"/>
        <v>20</v>
      </c>
    </row>
    <row r="176" ht="14.25" customHeight="1" spans="3:8">
      <c r="C176" s="25">
        <v>166</v>
      </c>
      <c r="D176" s="5" t="s">
        <v>357</v>
      </c>
      <c r="E176" s="13" t="s">
        <v>358</v>
      </c>
      <c r="F176" s="26">
        <f>'CIE+CIA'!H176</f>
        <v>47.9</v>
      </c>
      <c r="G176" s="26">
        <f t="shared" si="4"/>
        <v>19.16</v>
      </c>
      <c r="H176" s="26">
        <f t="shared" si="5"/>
        <v>20</v>
      </c>
    </row>
    <row r="177" ht="14.25" customHeight="1" spans="3:8">
      <c r="C177" s="25">
        <v>167</v>
      </c>
      <c r="D177" s="5" t="s">
        <v>359</v>
      </c>
      <c r="E177" s="13" t="s">
        <v>360</v>
      </c>
      <c r="F177" s="26">
        <f>'CIE+CIA'!H177</f>
        <v>49.6</v>
      </c>
      <c r="G177" s="26">
        <f t="shared" si="4"/>
        <v>19.84</v>
      </c>
      <c r="H177" s="26">
        <f t="shared" si="5"/>
        <v>20</v>
      </c>
    </row>
    <row r="178" ht="14.25" customHeight="1" spans="3:8">
      <c r="C178" s="25">
        <v>168</v>
      </c>
      <c r="D178" s="5" t="s">
        <v>361</v>
      </c>
      <c r="E178" s="13" t="s">
        <v>362</v>
      </c>
      <c r="F178" s="26">
        <f>'CIE+CIA'!H178</f>
        <v>46.8</v>
      </c>
      <c r="G178" s="26">
        <f t="shared" si="4"/>
        <v>18.72</v>
      </c>
      <c r="H178" s="26">
        <f t="shared" si="5"/>
        <v>19</v>
      </c>
    </row>
    <row r="179" ht="14.25" customHeight="1" spans="3:8">
      <c r="C179" s="25">
        <v>169</v>
      </c>
      <c r="D179" s="5" t="s">
        <v>363</v>
      </c>
      <c r="E179" s="13" t="s">
        <v>364</v>
      </c>
      <c r="F179" s="26">
        <f>'CIE+CIA'!H179</f>
        <v>41.8</v>
      </c>
      <c r="G179" s="26">
        <f t="shared" si="4"/>
        <v>16.72</v>
      </c>
      <c r="H179" s="26">
        <f t="shared" si="5"/>
        <v>17</v>
      </c>
    </row>
    <row r="180" ht="14.25" customHeight="1" spans="3:8">
      <c r="C180" s="25">
        <v>170</v>
      </c>
      <c r="D180" s="5" t="s">
        <v>365</v>
      </c>
      <c r="E180" s="13" t="s">
        <v>366</v>
      </c>
      <c r="F180" s="26">
        <f>'CIE+CIA'!H180</f>
        <v>45.5</v>
      </c>
      <c r="G180" s="26">
        <f t="shared" si="4"/>
        <v>18.2</v>
      </c>
      <c r="H180" s="26">
        <f t="shared" si="5"/>
        <v>19</v>
      </c>
    </row>
    <row r="181" ht="14.25" customHeight="1" spans="3:8">
      <c r="C181" s="25">
        <v>171</v>
      </c>
      <c r="D181" s="5" t="s">
        <v>367</v>
      </c>
      <c r="E181" s="13" t="s">
        <v>368</v>
      </c>
      <c r="F181" s="26">
        <f>'CIE+CIA'!H181</f>
        <v>46</v>
      </c>
      <c r="G181" s="26">
        <f t="shared" si="4"/>
        <v>18.4</v>
      </c>
      <c r="H181" s="26">
        <f t="shared" si="5"/>
        <v>19</v>
      </c>
    </row>
    <row r="182" ht="14.25" customHeight="1" spans="3:8">
      <c r="C182" s="25">
        <v>172</v>
      </c>
      <c r="D182" s="5" t="s">
        <v>369</v>
      </c>
      <c r="E182" s="13" t="s">
        <v>370</v>
      </c>
      <c r="F182" s="26">
        <f>'CIE+CIA'!H182</f>
        <v>42.3</v>
      </c>
      <c r="G182" s="26">
        <f t="shared" si="4"/>
        <v>16.92</v>
      </c>
      <c r="H182" s="26">
        <f t="shared" si="5"/>
        <v>17</v>
      </c>
    </row>
    <row r="183" ht="14.25" customHeight="1" spans="3:8">
      <c r="C183" s="25">
        <v>173</v>
      </c>
      <c r="D183" s="5" t="s">
        <v>371</v>
      </c>
      <c r="E183" s="13" t="s">
        <v>372</v>
      </c>
      <c r="F183" s="26">
        <f>'CIE+CIA'!H183</f>
        <v>44.8</v>
      </c>
      <c r="G183" s="26">
        <f t="shared" si="4"/>
        <v>17.92</v>
      </c>
      <c r="H183" s="26">
        <f t="shared" si="5"/>
        <v>18</v>
      </c>
    </row>
    <row r="184" ht="14.25" customHeight="1" spans="3:8">
      <c r="C184" s="25">
        <v>174</v>
      </c>
      <c r="D184" s="5" t="s">
        <v>373</v>
      </c>
      <c r="E184" s="13" t="s">
        <v>374</v>
      </c>
      <c r="F184" s="26">
        <f>'CIE+CIA'!H184</f>
        <v>43.6</v>
      </c>
      <c r="G184" s="26">
        <f t="shared" si="4"/>
        <v>17.44</v>
      </c>
      <c r="H184" s="26">
        <f t="shared" si="5"/>
        <v>18</v>
      </c>
    </row>
    <row r="185" ht="14.25" customHeight="1" spans="3:8">
      <c r="C185" s="25">
        <v>175</v>
      </c>
      <c r="D185" s="5" t="s">
        <v>375</v>
      </c>
      <c r="E185" s="13" t="s">
        <v>376</v>
      </c>
      <c r="F185" s="26">
        <f>'CIE+CIA'!H185</f>
        <v>42.7</v>
      </c>
      <c r="G185" s="26">
        <f t="shared" si="4"/>
        <v>17.08</v>
      </c>
      <c r="H185" s="26">
        <f t="shared" si="5"/>
        <v>18</v>
      </c>
    </row>
    <row r="186" ht="14.25" customHeight="1" spans="3:8">
      <c r="C186" s="25">
        <v>176</v>
      </c>
      <c r="D186" s="5" t="s">
        <v>377</v>
      </c>
      <c r="E186" s="13" t="s">
        <v>378</v>
      </c>
      <c r="F186" s="26">
        <f>'CIE+CIA'!H186</f>
        <v>45.5</v>
      </c>
      <c r="G186" s="26">
        <f t="shared" si="4"/>
        <v>18.2</v>
      </c>
      <c r="H186" s="26">
        <f t="shared" si="5"/>
        <v>19</v>
      </c>
    </row>
    <row r="187" ht="14.25" customHeight="1" spans="3:8">
      <c r="C187" s="25">
        <v>177</v>
      </c>
      <c r="D187" s="5" t="s">
        <v>379</v>
      </c>
      <c r="E187" s="13" t="s">
        <v>380</v>
      </c>
      <c r="F187" s="26">
        <f>'CIE+CIA'!H187</f>
        <v>47.7</v>
      </c>
      <c r="G187" s="26">
        <f t="shared" si="4"/>
        <v>19.08</v>
      </c>
      <c r="H187" s="26">
        <f t="shared" si="5"/>
        <v>20</v>
      </c>
    </row>
    <row r="188" ht="14.25" customHeight="1" spans="3:8">
      <c r="C188" s="25">
        <v>178</v>
      </c>
      <c r="D188" s="5" t="s">
        <v>381</v>
      </c>
      <c r="E188" s="13" t="s">
        <v>382</v>
      </c>
      <c r="F188" s="26">
        <f>'CIE+CIA'!H188</f>
        <v>46.2</v>
      </c>
      <c r="G188" s="26">
        <f t="shared" si="4"/>
        <v>18.48</v>
      </c>
      <c r="H188" s="26">
        <f t="shared" si="5"/>
        <v>19</v>
      </c>
    </row>
    <row r="189" ht="14.25" customHeight="1" spans="3:8">
      <c r="C189" s="25">
        <v>179</v>
      </c>
      <c r="D189" s="5" t="s">
        <v>383</v>
      </c>
      <c r="E189" s="13" t="s">
        <v>384</v>
      </c>
      <c r="F189" s="26">
        <f>'CIE+CIA'!H189</f>
        <v>44.5</v>
      </c>
      <c r="G189" s="26">
        <f t="shared" si="4"/>
        <v>17.8</v>
      </c>
      <c r="H189" s="26">
        <f t="shared" si="5"/>
        <v>18</v>
      </c>
    </row>
    <row r="190" ht="14.25" customHeight="1" spans="3:8">
      <c r="C190" s="25">
        <v>180</v>
      </c>
      <c r="D190" s="5" t="s">
        <v>385</v>
      </c>
      <c r="E190" s="13" t="s">
        <v>386</v>
      </c>
      <c r="F190" s="26">
        <f>'CIE+CIA'!H190</f>
        <v>47.3</v>
      </c>
      <c r="G190" s="26">
        <f t="shared" si="4"/>
        <v>18.92</v>
      </c>
      <c r="H190" s="26">
        <f t="shared" si="5"/>
        <v>19</v>
      </c>
    </row>
    <row r="191" ht="14.25" customHeight="1" spans="3:8">
      <c r="C191" s="25">
        <v>181</v>
      </c>
      <c r="D191" s="5" t="s">
        <v>387</v>
      </c>
      <c r="E191" s="13" t="s">
        <v>388</v>
      </c>
      <c r="F191" s="26">
        <f>'CIE+CIA'!H191</f>
        <v>44.9</v>
      </c>
      <c r="G191" s="26">
        <f t="shared" si="4"/>
        <v>17.96</v>
      </c>
      <c r="H191" s="26">
        <f t="shared" si="5"/>
        <v>18</v>
      </c>
    </row>
    <row r="192" ht="14.25" customHeight="1" spans="3:8">
      <c r="C192" s="25">
        <v>182</v>
      </c>
      <c r="D192" s="5" t="s">
        <v>389</v>
      </c>
      <c r="E192" s="13" t="s">
        <v>390</v>
      </c>
      <c r="F192" s="26">
        <f>'CIE+CIA'!H192</f>
        <v>45.5</v>
      </c>
      <c r="G192" s="26">
        <f t="shared" si="4"/>
        <v>18.2</v>
      </c>
      <c r="H192" s="26">
        <f t="shared" si="5"/>
        <v>19</v>
      </c>
    </row>
    <row r="193" ht="14.25" customHeight="1" spans="3:8">
      <c r="C193" s="25">
        <v>183</v>
      </c>
      <c r="D193" s="5" t="s">
        <v>391</v>
      </c>
      <c r="E193" s="13" t="s">
        <v>392</v>
      </c>
      <c r="F193" s="26">
        <f>'CIE+CIA'!H193</f>
        <v>44.9</v>
      </c>
      <c r="G193" s="26">
        <f t="shared" si="4"/>
        <v>17.96</v>
      </c>
      <c r="H193" s="26">
        <f t="shared" si="5"/>
        <v>18</v>
      </c>
    </row>
    <row r="194" ht="14.25" customHeight="1" spans="3:8">
      <c r="C194" s="25">
        <v>184</v>
      </c>
      <c r="D194" s="5" t="s">
        <v>393</v>
      </c>
      <c r="E194" s="13" t="s">
        <v>394</v>
      </c>
      <c r="F194" s="26">
        <f>'CIE+CIA'!H194</f>
        <v>44.8</v>
      </c>
      <c r="G194" s="26">
        <f t="shared" si="4"/>
        <v>17.92</v>
      </c>
      <c r="H194" s="26">
        <f t="shared" si="5"/>
        <v>18</v>
      </c>
    </row>
    <row r="195" ht="14.25" customHeight="1" spans="3:8">
      <c r="C195" s="25">
        <v>185</v>
      </c>
      <c r="D195" s="5" t="s">
        <v>395</v>
      </c>
      <c r="E195" s="13" t="s">
        <v>396</v>
      </c>
      <c r="F195" s="26">
        <f>'CIE+CIA'!H195</f>
        <v>48.3</v>
      </c>
      <c r="G195" s="26">
        <f t="shared" si="4"/>
        <v>19.32</v>
      </c>
      <c r="H195" s="26">
        <f t="shared" si="5"/>
        <v>20</v>
      </c>
    </row>
    <row r="196" ht="14.25" customHeight="1" spans="3:8">
      <c r="C196" s="25">
        <v>186</v>
      </c>
      <c r="D196" s="5" t="s">
        <v>397</v>
      </c>
      <c r="E196" s="13" t="s">
        <v>398</v>
      </c>
      <c r="F196" s="26">
        <f>'CIE+CIA'!H196</f>
        <v>43.4</v>
      </c>
      <c r="G196" s="26">
        <f t="shared" si="4"/>
        <v>17.36</v>
      </c>
      <c r="H196" s="26">
        <f t="shared" si="5"/>
        <v>18</v>
      </c>
    </row>
    <row r="197" ht="14.25" customHeight="1" spans="3:8">
      <c r="C197" s="25">
        <v>187</v>
      </c>
      <c r="D197" s="5" t="s">
        <v>399</v>
      </c>
      <c r="E197" s="13" t="s">
        <v>400</v>
      </c>
      <c r="F197" s="26">
        <f>'CIE+CIA'!H197</f>
        <v>45.4</v>
      </c>
      <c r="G197" s="26">
        <f t="shared" si="4"/>
        <v>18.16</v>
      </c>
      <c r="H197" s="26">
        <f t="shared" si="5"/>
        <v>19</v>
      </c>
    </row>
    <row r="198" ht="14.25" customHeight="1" spans="3:8">
      <c r="C198" s="25">
        <v>188</v>
      </c>
      <c r="D198" s="5" t="s">
        <v>401</v>
      </c>
      <c r="E198" s="13" t="s">
        <v>402</v>
      </c>
      <c r="F198" s="26">
        <f>'CIE+CIA'!H198</f>
        <v>41.3</v>
      </c>
      <c r="G198" s="26">
        <f t="shared" si="4"/>
        <v>16.52</v>
      </c>
      <c r="H198" s="26">
        <f t="shared" si="5"/>
        <v>17</v>
      </c>
    </row>
    <row r="199" ht="14.25" customHeight="1" spans="3:8">
      <c r="C199" s="25">
        <v>189</v>
      </c>
      <c r="D199" s="5" t="s">
        <v>403</v>
      </c>
      <c r="E199" s="13" t="s">
        <v>404</v>
      </c>
      <c r="F199" s="26">
        <f>'CIE+CIA'!H199</f>
        <v>45</v>
      </c>
      <c r="G199" s="26">
        <f t="shared" si="4"/>
        <v>18</v>
      </c>
      <c r="H199" s="26">
        <f t="shared" si="5"/>
        <v>18</v>
      </c>
    </row>
    <row r="200" ht="14.25" customHeight="1" spans="3:8">
      <c r="C200" s="25">
        <v>190</v>
      </c>
      <c r="D200" s="4" t="s">
        <v>405</v>
      </c>
      <c r="E200" s="14" t="s">
        <v>406</v>
      </c>
      <c r="F200" s="26">
        <f>'CIE+CIA'!H200</f>
        <v>47.6</v>
      </c>
      <c r="G200" s="26">
        <f t="shared" si="4"/>
        <v>19.04</v>
      </c>
      <c r="H200" s="26">
        <f t="shared" si="5"/>
        <v>20</v>
      </c>
    </row>
    <row r="201" ht="14.25" customHeight="1" spans="3:8">
      <c r="C201" s="25">
        <v>191</v>
      </c>
      <c r="D201" s="4" t="s">
        <v>407</v>
      </c>
      <c r="E201" s="14" t="s">
        <v>408</v>
      </c>
      <c r="F201" s="26">
        <f>'CIE+CIA'!H201</f>
        <v>47.6</v>
      </c>
      <c r="G201" s="26">
        <f t="shared" si="4"/>
        <v>19.04</v>
      </c>
      <c r="H201" s="26">
        <f t="shared" si="5"/>
        <v>20</v>
      </c>
    </row>
    <row r="202" ht="14.25" customHeight="1" spans="3:8">
      <c r="C202" s="12">
        <v>192</v>
      </c>
      <c r="D202" s="4" t="s">
        <v>409</v>
      </c>
      <c r="E202" s="14" t="s">
        <v>410</v>
      </c>
      <c r="F202" s="3">
        <f>'CIE+CIA'!H202</f>
        <v>44.4</v>
      </c>
      <c r="G202" s="26">
        <f t="shared" si="4"/>
        <v>17.76</v>
      </c>
      <c r="H202" s="26">
        <f t="shared" si="5"/>
        <v>18</v>
      </c>
    </row>
    <row r="203" ht="14.25" customHeight="1" spans="3:8">
      <c r="C203" s="12">
        <v>193</v>
      </c>
      <c r="D203" s="4" t="s">
        <v>411</v>
      </c>
      <c r="E203" s="14" t="s">
        <v>412</v>
      </c>
      <c r="F203" s="3">
        <f>'CIE+CIA'!H203</f>
        <v>46.6</v>
      </c>
      <c r="G203" s="26">
        <f t="shared" si="4"/>
        <v>18.64</v>
      </c>
      <c r="H203" s="26">
        <f t="shared" si="5"/>
        <v>19</v>
      </c>
    </row>
    <row r="204" ht="14.25" customHeight="1" spans="3:8">
      <c r="C204" s="12">
        <v>194</v>
      </c>
      <c r="D204" s="4" t="s">
        <v>413</v>
      </c>
      <c r="E204" s="14" t="s">
        <v>414</v>
      </c>
      <c r="F204" s="3">
        <f>'CIE+CIA'!H204</f>
        <v>43.1</v>
      </c>
      <c r="G204" s="26">
        <f t="shared" ref="G204:G217" si="6">F204*0.4</f>
        <v>17.24</v>
      </c>
      <c r="H204" s="26">
        <f t="shared" ref="H204:H217" si="7">ROUNDUP(G204,0)</f>
        <v>18</v>
      </c>
    </row>
    <row r="205" ht="14.25" customHeight="1" spans="3:8">
      <c r="C205" s="12">
        <v>195</v>
      </c>
      <c r="D205" s="4" t="s">
        <v>415</v>
      </c>
      <c r="E205" s="14" t="s">
        <v>416</v>
      </c>
      <c r="F205" s="3">
        <f>'CIE+CIA'!H205</f>
        <v>46.5</v>
      </c>
      <c r="G205" s="26">
        <f t="shared" si="6"/>
        <v>18.6</v>
      </c>
      <c r="H205" s="26">
        <f t="shared" si="7"/>
        <v>19</v>
      </c>
    </row>
    <row r="206" ht="14.25" customHeight="1" spans="3:8">
      <c r="C206" s="12">
        <v>196</v>
      </c>
      <c r="D206" s="4" t="s">
        <v>417</v>
      </c>
      <c r="E206" s="14" t="s">
        <v>418</v>
      </c>
      <c r="F206" s="3">
        <f>'CIE+CIA'!H206</f>
        <v>46</v>
      </c>
      <c r="G206" s="26">
        <f t="shared" si="6"/>
        <v>18.4</v>
      </c>
      <c r="H206" s="26">
        <f t="shared" si="7"/>
        <v>19</v>
      </c>
    </row>
    <row r="207" ht="14.25" customHeight="1" spans="3:8">
      <c r="C207" s="12">
        <v>197</v>
      </c>
      <c r="D207" s="4" t="s">
        <v>419</v>
      </c>
      <c r="E207" s="14" t="s">
        <v>420</v>
      </c>
      <c r="F207" s="3">
        <f>'CIE+CIA'!H207</f>
        <v>48.5</v>
      </c>
      <c r="G207" s="26">
        <f t="shared" si="6"/>
        <v>19.4</v>
      </c>
      <c r="H207" s="26">
        <f t="shared" si="7"/>
        <v>20</v>
      </c>
    </row>
    <row r="208" ht="14.25" customHeight="1" spans="3:8">
      <c r="C208" s="12">
        <v>198</v>
      </c>
      <c r="D208" s="4" t="s">
        <v>421</v>
      </c>
      <c r="E208" s="14" t="s">
        <v>422</v>
      </c>
      <c r="F208" s="3">
        <f>'CIE+CIA'!H208</f>
        <v>43.8</v>
      </c>
      <c r="G208" s="26">
        <f t="shared" si="6"/>
        <v>17.52</v>
      </c>
      <c r="H208" s="26">
        <f t="shared" si="7"/>
        <v>18</v>
      </c>
    </row>
    <row r="209" ht="14.25" customHeight="1" spans="3:8">
      <c r="C209" s="12">
        <v>199</v>
      </c>
      <c r="D209" s="4" t="s">
        <v>423</v>
      </c>
      <c r="E209" s="14" t="s">
        <v>424</v>
      </c>
      <c r="F209" s="3">
        <f>'CIE+CIA'!H209</f>
        <v>43.7</v>
      </c>
      <c r="G209" s="26">
        <f t="shared" si="6"/>
        <v>17.48</v>
      </c>
      <c r="H209" s="26">
        <f t="shared" si="7"/>
        <v>18</v>
      </c>
    </row>
    <row r="210" ht="14.25" customHeight="1" spans="3:8">
      <c r="C210" s="12">
        <v>200</v>
      </c>
      <c r="D210" s="4" t="s">
        <v>425</v>
      </c>
      <c r="E210" s="14" t="s">
        <v>426</v>
      </c>
      <c r="F210" s="3">
        <f>'CIE+CIA'!H210</f>
        <v>46.6</v>
      </c>
      <c r="G210" s="26">
        <f t="shared" si="6"/>
        <v>18.64</v>
      </c>
      <c r="H210" s="26">
        <f t="shared" si="7"/>
        <v>19</v>
      </c>
    </row>
    <row r="211" ht="14.25" customHeight="1" spans="3:8">
      <c r="C211" s="12">
        <v>201</v>
      </c>
      <c r="D211" s="4" t="s">
        <v>427</v>
      </c>
      <c r="E211" s="14" t="s">
        <v>428</v>
      </c>
      <c r="F211" s="3">
        <f>'CIE+CIA'!H211</f>
        <v>47.4</v>
      </c>
      <c r="G211" s="26">
        <f t="shared" si="6"/>
        <v>18.96</v>
      </c>
      <c r="H211" s="26">
        <f t="shared" si="7"/>
        <v>19</v>
      </c>
    </row>
    <row r="212" ht="14.25" customHeight="1" spans="3:8">
      <c r="C212" s="12">
        <v>202</v>
      </c>
      <c r="D212" s="4" t="s">
        <v>429</v>
      </c>
      <c r="E212" s="14" t="s">
        <v>430</v>
      </c>
      <c r="F212" s="3">
        <f>'CIE+CIA'!H212</f>
        <v>45.8</v>
      </c>
      <c r="G212" s="26">
        <f t="shared" si="6"/>
        <v>18.32</v>
      </c>
      <c r="H212" s="26">
        <f t="shared" si="7"/>
        <v>19</v>
      </c>
    </row>
    <row r="213" ht="14.25" customHeight="1" spans="3:8">
      <c r="C213" s="12">
        <v>203</v>
      </c>
      <c r="D213" s="4" t="s">
        <v>431</v>
      </c>
      <c r="E213" s="14" t="s">
        <v>432</v>
      </c>
      <c r="F213" s="3">
        <f>'CIE+CIA'!H213</f>
        <v>47.2</v>
      </c>
      <c r="G213" s="26">
        <f t="shared" si="6"/>
        <v>18.88</v>
      </c>
      <c r="H213" s="26">
        <f t="shared" si="7"/>
        <v>19</v>
      </c>
    </row>
    <row r="214" ht="14.25" customHeight="1" spans="3:8">
      <c r="C214" s="12">
        <v>204</v>
      </c>
      <c r="D214" s="4" t="s">
        <v>433</v>
      </c>
      <c r="E214" s="14" t="s">
        <v>434</v>
      </c>
      <c r="F214" s="3">
        <f>'CIE+CIA'!H214</f>
        <v>46</v>
      </c>
      <c r="G214" s="26">
        <f t="shared" si="6"/>
        <v>18.4</v>
      </c>
      <c r="H214" s="26">
        <f t="shared" si="7"/>
        <v>19</v>
      </c>
    </row>
    <row r="215" ht="14.25" customHeight="1" spans="3:8">
      <c r="C215" s="12">
        <v>205</v>
      </c>
      <c r="D215" s="4" t="s">
        <v>435</v>
      </c>
      <c r="E215" s="14" t="s">
        <v>436</v>
      </c>
      <c r="F215" s="3">
        <f>'CIE+CIA'!H215</f>
        <v>45.1</v>
      </c>
      <c r="G215" s="26">
        <f t="shared" si="6"/>
        <v>18.04</v>
      </c>
      <c r="H215" s="26">
        <f t="shared" si="7"/>
        <v>19</v>
      </c>
    </row>
    <row r="216" ht="14.25" customHeight="1" spans="3:8">
      <c r="C216" s="12">
        <v>206</v>
      </c>
      <c r="D216" s="4" t="s">
        <v>437</v>
      </c>
      <c r="E216" s="14" t="s">
        <v>438</v>
      </c>
      <c r="F216" s="3">
        <f>'CIE+CIA'!H216</f>
        <v>44.5</v>
      </c>
      <c r="G216" s="26">
        <f t="shared" si="6"/>
        <v>17.8</v>
      </c>
      <c r="H216" s="26">
        <f t="shared" si="7"/>
        <v>18</v>
      </c>
    </row>
    <row r="217" ht="14.25" customHeight="1" spans="3:8">
      <c r="C217" s="12">
        <v>207</v>
      </c>
      <c r="D217" s="4" t="s">
        <v>439</v>
      </c>
      <c r="E217" s="14" t="s">
        <v>440</v>
      </c>
      <c r="F217" s="3">
        <f>'CIE+CIA'!H217</f>
        <v>43.4</v>
      </c>
      <c r="G217" s="26">
        <f t="shared" si="6"/>
        <v>17.36</v>
      </c>
      <c r="H217" s="26">
        <f t="shared" si="7"/>
        <v>18</v>
      </c>
    </row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</sheetData>
  <mergeCells count="5">
    <mergeCell ref="C6:G6"/>
    <mergeCell ref="C7:G7"/>
    <mergeCell ref="D8:E8"/>
    <mergeCell ref="G8:H8"/>
    <mergeCell ref="G9:H9"/>
  </mergeCells>
  <pageMargins left="0.25" right="0.25" top="0.75" bottom="0.75" header="0.3" footer="0.3"/>
  <pageSetup paperSize="9" scale="87" fitToHeight="0" orientation="portrait" horizontalDpi="300" verticalDpi="300"/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18"/>
  <sheetViews>
    <sheetView topLeftCell="A182" workbookViewId="0">
      <selection activeCell="Q139" sqref="Q139"/>
    </sheetView>
  </sheetViews>
  <sheetFormatPr defaultColWidth="9" defaultRowHeight="15" outlineLevelCol="3"/>
  <cols>
    <col min="1" max="1" width="5.57142857142857" customWidth="1"/>
    <col min="2" max="2" width="14.7142857142857" customWidth="1"/>
    <col min="3" max="3" width="26.5714285714286" customWidth="1"/>
    <col min="4" max="4" width="17.4285714285714" customWidth="1"/>
  </cols>
  <sheetData>
    <row r="1" spans="1:4">
      <c r="A1" s="12" t="s">
        <v>443</v>
      </c>
      <c r="B1" s="12" t="s">
        <v>6</v>
      </c>
      <c r="C1" s="12" t="s">
        <v>7</v>
      </c>
      <c r="D1" s="12" t="s">
        <v>479</v>
      </c>
    </row>
    <row r="2" ht="30" spans="1:4">
      <c r="A2" s="12">
        <v>1</v>
      </c>
      <c r="B2" s="5" t="s">
        <v>26</v>
      </c>
      <c r="C2" s="13" t="s">
        <v>27</v>
      </c>
      <c r="D2" s="12">
        <v>11</v>
      </c>
    </row>
    <row r="3" spans="1:4">
      <c r="A3" s="12">
        <v>2</v>
      </c>
      <c r="B3" s="5" t="s">
        <v>28</v>
      </c>
      <c r="C3" s="13" t="s">
        <v>29</v>
      </c>
      <c r="D3" s="12">
        <v>11</v>
      </c>
    </row>
    <row r="4" spans="1:4">
      <c r="A4" s="12">
        <v>3</v>
      </c>
      <c r="B4" s="5" t="s">
        <v>30</v>
      </c>
      <c r="C4" s="13" t="s">
        <v>31</v>
      </c>
      <c r="D4" s="12">
        <v>12</v>
      </c>
    </row>
    <row r="5" spans="1:4">
      <c r="A5" s="12">
        <v>4</v>
      </c>
      <c r="B5" s="5" t="s">
        <v>32</v>
      </c>
      <c r="C5" s="13" t="s">
        <v>33</v>
      </c>
      <c r="D5" s="12">
        <v>12</v>
      </c>
    </row>
    <row r="6" spans="1:4">
      <c r="A6" s="12">
        <v>5</v>
      </c>
      <c r="B6" s="5" t="s">
        <v>34</v>
      </c>
      <c r="C6" s="13" t="s">
        <v>35</v>
      </c>
      <c r="D6" s="12">
        <v>11</v>
      </c>
    </row>
    <row r="7" spans="1:4">
      <c r="A7" s="12">
        <v>6</v>
      </c>
      <c r="B7" s="5" t="s">
        <v>36</v>
      </c>
      <c r="C7" s="13" t="s">
        <v>37</v>
      </c>
      <c r="D7" s="12">
        <v>11</v>
      </c>
    </row>
    <row r="8" spans="1:4">
      <c r="A8" s="12">
        <v>7</v>
      </c>
      <c r="B8" s="5" t="s">
        <v>38</v>
      </c>
      <c r="C8" s="13" t="s">
        <v>39</v>
      </c>
      <c r="D8" s="12">
        <v>12</v>
      </c>
    </row>
    <row r="9" spans="1:4">
      <c r="A9" s="12">
        <v>8</v>
      </c>
      <c r="B9" s="5" t="s">
        <v>40</v>
      </c>
      <c r="C9" s="13" t="s">
        <v>41</v>
      </c>
      <c r="D9" s="12">
        <v>11</v>
      </c>
    </row>
    <row r="10" spans="1:4">
      <c r="A10" s="12">
        <v>9</v>
      </c>
      <c r="B10" s="5" t="s">
        <v>42</v>
      </c>
      <c r="C10" s="13" t="s">
        <v>43</v>
      </c>
      <c r="D10" s="12">
        <v>11</v>
      </c>
    </row>
    <row r="11" spans="1:4">
      <c r="A11" s="12">
        <v>10</v>
      </c>
      <c r="B11" s="5" t="s">
        <v>44</v>
      </c>
      <c r="C11" s="13" t="s">
        <v>45</v>
      </c>
      <c r="D11" s="12">
        <v>12</v>
      </c>
    </row>
    <row r="12" spans="1:4">
      <c r="A12" s="12">
        <v>11</v>
      </c>
      <c r="B12" s="5" t="s">
        <v>46</v>
      </c>
      <c r="C12" s="13" t="s">
        <v>47</v>
      </c>
      <c r="D12" s="12">
        <v>12</v>
      </c>
    </row>
    <row r="13" spans="1:4">
      <c r="A13" s="12">
        <v>12</v>
      </c>
      <c r="B13" s="5" t="s">
        <v>48</v>
      </c>
      <c r="C13" s="13" t="s">
        <v>49</v>
      </c>
      <c r="D13" s="12">
        <v>11</v>
      </c>
    </row>
    <row r="14" spans="1:4">
      <c r="A14" s="12">
        <v>13</v>
      </c>
      <c r="B14" s="5" t="s">
        <v>50</v>
      </c>
      <c r="C14" s="13" t="s">
        <v>51</v>
      </c>
      <c r="D14" s="12">
        <v>12</v>
      </c>
    </row>
    <row r="15" spans="1:4">
      <c r="A15" s="12">
        <v>14</v>
      </c>
      <c r="B15" s="5" t="s">
        <v>52</v>
      </c>
      <c r="C15" s="13" t="s">
        <v>53</v>
      </c>
      <c r="D15" s="12">
        <v>12</v>
      </c>
    </row>
    <row r="16" spans="1:4">
      <c r="A16" s="12">
        <v>15</v>
      </c>
      <c r="B16" s="5" t="s">
        <v>54</v>
      </c>
      <c r="C16" s="13" t="s">
        <v>55</v>
      </c>
      <c r="D16" s="12">
        <v>12</v>
      </c>
    </row>
    <row r="17" spans="1:4">
      <c r="A17" s="12">
        <v>16</v>
      </c>
      <c r="B17" s="5" t="s">
        <v>56</v>
      </c>
      <c r="C17" s="13" t="s">
        <v>57</v>
      </c>
      <c r="D17" s="12">
        <v>12</v>
      </c>
    </row>
    <row r="18" spans="1:4">
      <c r="A18" s="12">
        <v>17</v>
      </c>
      <c r="B18" s="5" t="s">
        <v>58</v>
      </c>
      <c r="C18" s="13" t="s">
        <v>59</v>
      </c>
      <c r="D18" s="12">
        <v>12</v>
      </c>
    </row>
    <row r="19" spans="1:4">
      <c r="A19" s="12">
        <v>18</v>
      </c>
      <c r="B19" s="5" t="s">
        <v>60</v>
      </c>
      <c r="C19" s="13" t="s">
        <v>61</v>
      </c>
      <c r="D19" s="12">
        <v>11</v>
      </c>
    </row>
    <row r="20" spans="1:4">
      <c r="A20" s="12">
        <v>19</v>
      </c>
      <c r="B20" s="5" t="s">
        <v>62</v>
      </c>
      <c r="C20" s="13" t="s">
        <v>63</v>
      </c>
      <c r="D20" s="12">
        <v>12</v>
      </c>
    </row>
    <row r="21" spans="1:4">
      <c r="A21" s="12">
        <v>20</v>
      </c>
      <c r="B21" s="5" t="s">
        <v>64</v>
      </c>
      <c r="C21" s="13" t="s">
        <v>65</v>
      </c>
      <c r="D21" s="12">
        <v>11</v>
      </c>
    </row>
    <row r="22" spans="1:4">
      <c r="A22" s="12">
        <v>21</v>
      </c>
      <c r="B22" s="5" t="s">
        <v>66</v>
      </c>
      <c r="C22" s="13" t="s">
        <v>67</v>
      </c>
      <c r="D22" s="12">
        <v>12</v>
      </c>
    </row>
    <row r="23" spans="1:4">
      <c r="A23" s="12">
        <v>22</v>
      </c>
      <c r="B23" s="5" t="s">
        <v>68</v>
      </c>
      <c r="C23" s="13" t="s">
        <v>69</v>
      </c>
      <c r="D23" s="12">
        <v>11</v>
      </c>
    </row>
    <row r="24" spans="1:4">
      <c r="A24" s="12">
        <v>23</v>
      </c>
      <c r="B24" s="5" t="s">
        <v>70</v>
      </c>
      <c r="C24" s="13" t="s">
        <v>71</v>
      </c>
      <c r="D24" s="12">
        <v>11</v>
      </c>
    </row>
    <row r="25" spans="1:4">
      <c r="A25" s="12">
        <v>24</v>
      </c>
      <c r="B25" s="5" t="s">
        <v>72</v>
      </c>
      <c r="C25" s="13" t="s">
        <v>73</v>
      </c>
      <c r="D25" s="12">
        <v>11</v>
      </c>
    </row>
    <row r="26" spans="1:4">
      <c r="A26" s="12">
        <v>25</v>
      </c>
      <c r="B26" s="5" t="s">
        <v>74</v>
      </c>
      <c r="C26" s="13" t="s">
        <v>75</v>
      </c>
      <c r="D26" s="12">
        <v>12</v>
      </c>
    </row>
    <row r="27" spans="1:4">
      <c r="A27" s="12">
        <v>26</v>
      </c>
      <c r="B27" s="5" t="s">
        <v>76</v>
      </c>
      <c r="C27" s="13" t="s">
        <v>77</v>
      </c>
      <c r="D27" s="12">
        <v>12</v>
      </c>
    </row>
    <row r="28" spans="1:4">
      <c r="A28" s="12">
        <v>27</v>
      </c>
      <c r="B28" s="5" t="s">
        <v>78</v>
      </c>
      <c r="C28" s="13" t="s">
        <v>79</v>
      </c>
      <c r="D28" s="12">
        <v>11</v>
      </c>
    </row>
    <row r="29" spans="1:4">
      <c r="A29" s="12">
        <v>28</v>
      </c>
      <c r="B29" s="5" t="s">
        <v>80</v>
      </c>
      <c r="C29" s="13" t="s">
        <v>81</v>
      </c>
      <c r="D29" s="12">
        <v>12</v>
      </c>
    </row>
    <row r="30" spans="1:4">
      <c r="A30" s="12">
        <v>29</v>
      </c>
      <c r="B30" s="5" t="s">
        <v>82</v>
      </c>
      <c r="C30" s="13" t="s">
        <v>83</v>
      </c>
      <c r="D30" s="12">
        <v>11</v>
      </c>
    </row>
    <row r="31" spans="1:4">
      <c r="A31" s="12">
        <v>30</v>
      </c>
      <c r="B31" s="5" t="s">
        <v>84</v>
      </c>
      <c r="C31" s="13" t="s">
        <v>85</v>
      </c>
      <c r="D31" s="12">
        <v>12</v>
      </c>
    </row>
    <row r="32" spans="1:4">
      <c r="A32" s="12">
        <v>31</v>
      </c>
      <c r="B32" s="5" t="s">
        <v>86</v>
      </c>
      <c r="C32" s="13" t="s">
        <v>87</v>
      </c>
      <c r="D32" s="12">
        <v>11</v>
      </c>
    </row>
    <row r="33" spans="1:4">
      <c r="A33" s="12">
        <v>32</v>
      </c>
      <c r="B33" s="5" t="s">
        <v>88</v>
      </c>
      <c r="C33" s="13" t="s">
        <v>89</v>
      </c>
      <c r="D33" s="12">
        <v>11</v>
      </c>
    </row>
    <row r="34" spans="1:4">
      <c r="A34" s="12">
        <v>33</v>
      </c>
      <c r="B34" s="5" t="s">
        <v>90</v>
      </c>
      <c r="C34" s="13" t="s">
        <v>91</v>
      </c>
      <c r="D34" s="12">
        <v>11</v>
      </c>
    </row>
    <row r="35" spans="1:4">
      <c r="A35" s="12">
        <v>34</v>
      </c>
      <c r="B35" s="5" t="s">
        <v>92</v>
      </c>
      <c r="C35" s="13" t="s">
        <v>93</v>
      </c>
      <c r="D35" s="12">
        <v>12</v>
      </c>
    </row>
    <row r="36" spans="1:4">
      <c r="A36" s="12">
        <v>35</v>
      </c>
      <c r="B36" s="5" t="s">
        <v>94</v>
      </c>
      <c r="C36" s="13" t="s">
        <v>95</v>
      </c>
      <c r="D36" s="12">
        <v>11</v>
      </c>
    </row>
    <row r="37" ht="30" spans="1:4">
      <c r="A37" s="12">
        <v>36</v>
      </c>
      <c r="B37" s="5" t="s">
        <v>96</v>
      </c>
      <c r="C37" s="13" t="s">
        <v>97</v>
      </c>
      <c r="D37" s="12">
        <v>12</v>
      </c>
    </row>
    <row r="38" spans="1:4">
      <c r="A38" s="12">
        <v>37</v>
      </c>
      <c r="B38" s="5" t="s">
        <v>98</v>
      </c>
      <c r="C38" s="13" t="s">
        <v>99</v>
      </c>
      <c r="D38" s="12">
        <v>11</v>
      </c>
    </row>
    <row r="39" spans="1:4">
      <c r="A39" s="12">
        <v>38</v>
      </c>
      <c r="B39" s="5" t="s">
        <v>100</v>
      </c>
      <c r="C39" s="13" t="s">
        <v>101</v>
      </c>
      <c r="D39" s="12">
        <v>12</v>
      </c>
    </row>
    <row r="40" spans="1:4">
      <c r="A40" s="12">
        <v>39</v>
      </c>
      <c r="B40" s="5" t="s">
        <v>102</v>
      </c>
      <c r="C40" s="13" t="s">
        <v>103</v>
      </c>
      <c r="D40" s="12">
        <v>12</v>
      </c>
    </row>
    <row r="41" spans="1:4">
      <c r="A41" s="12">
        <v>40</v>
      </c>
      <c r="B41" s="5" t="s">
        <v>104</v>
      </c>
      <c r="C41" s="13" t="s">
        <v>105</v>
      </c>
      <c r="D41" s="12">
        <v>11</v>
      </c>
    </row>
    <row r="42" spans="1:4">
      <c r="A42" s="12">
        <v>41</v>
      </c>
      <c r="B42" s="5" t="s">
        <v>106</v>
      </c>
      <c r="C42" s="13" t="s">
        <v>107</v>
      </c>
      <c r="D42" s="12">
        <v>12</v>
      </c>
    </row>
    <row r="43" spans="1:4">
      <c r="A43" s="12">
        <v>42</v>
      </c>
      <c r="B43" s="5" t="s">
        <v>108</v>
      </c>
      <c r="C43" s="13" t="s">
        <v>109</v>
      </c>
      <c r="D43" s="12">
        <v>11</v>
      </c>
    </row>
    <row r="44" spans="1:4">
      <c r="A44" s="12">
        <v>43</v>
      </c>
      <c r="B44" s="5" t="s">
        <v>110</v>
      </c>
      <c r="C44" s="13" t="s">
        <v>111</v>
      </c>
      <c r="D44" s="12">
        <v>12</v>
      </c>
    </row>
    <row r="45" spans="1:4">
      <c r="A45" s="12">
        <v>44</v>
      </c>
      <c r="B45" s="5" t="s">
        <v>112</v>
      </c>
      <c r="C45" s="13" t="s">
        <v>113</v>
      </c>
      <c r="D45" s="12">
        <v>12</v>
      </c>
    </row>
    <row r="46" spans="1:4">
      <c r="A46" s="12">
        <v>45</v>
      </c>
      <c r="B46" s="5" t="s">
        <v>114</v>
      </c>
      <c r="C46" s="13" t="s">
        <v>115</v>
      </c>
      <c r="D46" s="12">
        <v>12</v>
      </c>
    </row>
    <row r="47" ht="30" spans="1:4">
      <c r="A47" s="12">
        <v>46</v>
      </c>
      <c r="B47" s="5" t="s">
        <v>116</v>
      </c>
      <c r="C47" s="13" t="s">
        <v>117</v>
      </c>
      <c r="D47" s="12">
        <v>12</v>
      </c>
    </row>
    <row r="48" spans="1:4">
      <c r="A48" s="12">
        <v>47</v>
      </c>
      <c r="B48" s="5" t="s">
        <v>118</v>
      </c>
      <c r="C48" s="13" t="s">
        <v>119</v>
      </c>
      <c r="D48" s="12">
        <v>11</v>
      </c>
    </row>
    <row r="49" spans="1:4">
      <c r="A49" s="12">
        <v>48</v>
      </c>
      <c r="B49" s="5" t="s">
        <v>120</v>
      </c>
      <c r="C49" s="13" t="s">
        <v>121</v>
      </c>
      <c r="D49" s="12">
        <v>12</v>
      </c>
    </row>
    <row r="50" spans="1:4">
      <c r="A50" s="12">
        <v>49</v>
      </c>
      <c r="B50" s="5" t="s">
        <v>122</v>
      </c>
      <c r="C50" s="13" t="s">
        <v>123</v>
      </c>
      <c r="D50" s="12">
        <v>11</v>
      </c>
    </row>
    <row r="51" spans="1:4">
      <c r="A51" s="12">
        <v>50</v>
      </c>
      <c r="B51" s="5" t="s">
        <v>124</v>
      </c>
      <c r="C51" s="13" t="s">
        <v>125</v>
      </c>
      <c r="D51" s="12">
        <v>12</v>
      </c>
    </row>
    <row r="52" spans="1:4">
      <c r="A52" s="12">
        <v>51</v>
      </c>
      <c r="B52" s="5" t="s">
        <v>126</v>
      </c>
      <c r="C52" s="13" t="s">
        <v>127</v>
      </c>
      <c r="D52" s="12">
        <v>12</v>
      </c>
    </row>
    <row r="53" spans="1:4">
      <c r="A53" s="12">
        <v>52</v>
      </c>
      <c r="B53" s="5" t="s">
        <v>128</v>
      </c>
      <c r="C53" s="13" t="s">
        <v>129</v>
      </c>
      <c r="D53" s="12">
        <v>0</v>
      </c>
    </row>
    <row r="54" spans="1:4">
      <c r="A54" s="12">
        <v>53</v>
      </c>
      <c r="B54" s="5" t="s">
        <v>130</v>
      </c>
      <c r="C54" s="13" t="s">
        <v>131</v>
      </c>
      <c r="D54" s="12">
        <v>12</v>
      </c>
    </row>
    <row r="55" ht="45" spans="1:4">
      <c r="A55" s="12">
        <v>54</v>
      </c>
      <c r="B55" s="5" t="s">
        <v>132</v>
      </c>
      <c r="C55" s="13" t="s">
        <v>133</v>
      </c>
      <c r="D55" s="12">
        <v>12</v>
      </c>
    </row>
    <row r="56" spans="1:4">
      <c r="A56" s="12">
        <v>55</v>
      </c>
      <c r="B56" s="5" t="s">
        <v>134</v>
      </c>
      <c r="C56" s="13" t="s">
        <v>135</v>
      </c>
      <c r="D56" s="12">
        <v>12</v>
      </c>
    </row>
    <row r="57" spans="1:4">
      <c r="A57" s="12">
        <v>56</v>
      </c>
      <c r="B57" s="5" t="s">
        <v>136</v>
      </c>
      <c r="C57" s="13" t="s">
        <v>137</v>
      </c>
      <c r="D57" s="12">
        <v>12</v>
      </c>
    </row>
    <row r="58" spans="1:4">
      <c r="A58" s="12">
        <v>57</v>
      </c>
      <c r="B58" s="5" t="s">
        <v>138</v>
      </c>
      <c r="C58" s="13" t="s">
        <v>139</v>
      </c>
      <c r="D58" s="12">
        <v>12</v>
      </c>
    </row>
    <row r="59" spans="1:4">
      <c r="A59" s="12">
        <v>58</v>
      </c>
      <c r="B59" s="5" t="s">
        <v>140</v>
      </c>
      <c r="C59" s="13" t="s">
        <v>141</v>
      </c>
      <c r="D59" s="12">
        <v>12</v>
      </c>
    </row>
    <row r="60" spans="1:4">
      <c r="A60" s="12">
        <v>59</v>
      </c>
      <c r="B60" s="5" t="s">
        <v>142</v>
      </c>
      <c r="C60" s="13" t="s">
        <v>143</v>
      </c>
      <c r="D60" s="12">
        <v>12</v>
      </c>
    </row>
    <row r="61" spans="1:4">
      <c r="A61" s="12">
        <v>60</v>
      </c>
      <c r="B61" s="5" t="s">
        <v>144</v>
      </c>
      <c r="C61" s="13" t="s">
        <v>145</v>
      </c>
      <c r="D61" s="12">
        <v>12</v>
      </c>
    </row>
    <row r="62" spans="1:4">
      <c r="A62" s="12">
        <v>61</v>
      </c>
      <c r="B62" s="5" t="s">
        <v>146</v>
      </c>
      <c r="C62" s="13" t="s">
        <v>147</v>
      </c>
      <c r="D62" s="12">
        <v>12</v>
      </c>
    </row>
    <row r="63" spans="1:4">
      <c r="A63" s="12">
        <v>62</v>
      </c>
      <c r="B63" s="5" t="s">
        <v>148</v>
      </c>
      <c r="C63" s="13" t="s">
        <v>149</v>
      </c>
      <c r="D63" s="12">
        <v>12</v>
      </c>
    </row>
    <row r="64" spans="1:4">
      <c r="A64" s="12">
        <v>63</v>
      </c>
      <c r="B64" s="5" t="s">
        <v>150</v>
      </c>
      <c r="C64" s="13" t="s">
        <v>151</v>
      </c>
      <c r="D64" s="12">
        <v>12</v>
      </c>
    </row>
    <row r="65" spans="1:4">
      <c r="A65" s="12">
        <v>64</v>
      </c>
      <c r="B65" s="5" t="s">
        <v>152</v>
      </c>
      <c r="C65" s="13" t="s">
        <v>153</v>
      </c>
      <c r="D65" s="12">
        <v>12</v>
      </c>
    </row>
    <row r="66" spans="1:4">
      <c r="A66" s="12">
        <v>65</v>
      </c>
      <c r="B66" s="5" t="s">
        <v>154</v>
      </c>
      <c r="C66" s="13" t="s">
        <v>155</v>
      </c>
      <c r="D66" s="12">
        <v>12</v>
      </c>
    </row>
    <row r="67" spans="1:4">
      <c r="A67" s="12">
        <v>66</v>
      </c>
      <c r="B67" s="5" t="s">
        <v>156</v>
      </c>
      <c r="C67" s="13" t="s">
        <v>157</v>
      </c>
      <c r="D67" s="12">
        <v>12</v>
      </c>
    </row>
    <row r="68" spans="1:4">
      <c r="A68" s="12">
        <v>67</v>
      </c>
      <c r="B68" s="5" t="s">
        <v>158</v>
      </c>
      <c r="C68" s="13" t="s">
        <v>159</v>
      </c>
      <c r="D68" s="12">
        <v>12</v>
      </c>
    </row>
    <row r="69" ht="30" spans="1:4">
      <c r="A69" s="12">
        <v>68</v>
      </c>
      <c r="B69" s="5" t="s">
        <v>160</v>
      </c>
      <c r="C69" s="13" t="s">
        <v>161</v>
      </c>
      <c r="D69" s="12">
        <v>12</v>
      </c>
    </row>
    <row r="70" spans="1:4">
      <c r="A70" s="12">
        <v>69</v>
      </c>
      <c r="B70" s="5" t="s">
        <v>162</v>
      </c>
      <c r="C70" s="13" t="s">
        <v>163</v>
      </c>
      <c r="D70" s="12">
        <v>11</v>
      </c>
    </row>
    <row r="71" spans="1:4">
      <c r="A71" s="12">
        <v>70</v>
      </c>
      <c r="B71" s="5" t="s">
        <v>164</v>
      </c>
      <c r="C71" s="13" t="s">
        <v>165</v>
      </c>
      <c r="D71" s="12">
        <v>12</v>
      </c>
    </row>
    <row r="72" spans="1:4">
      <c r="A72" s="12">
        <v>71</v>
      </c>
      <c r="B72" s="5" t="s">
        <v>166</v>
      </c>
      <c r="C72" s="13" t="s">
        <v>167</v>
      </c>
      <c r="D72" s="12">
        <v>11</v>
      </c>
    </row>
    <row r="73" spans="1:4">
      <c r="A73" s="12">
        <v>72</v>
      </c>
      <c r="B73" s="5" t="s">
        <v>168</v>
      </c>
      <c r="C73" s="13" t="s">
        <v>169</v>
      </c>
      <c r="D73" s="12">
        <v>11</v>
      </c>
    </row>
    <row r="74" spans="1:4">
      <c r="A74" s="12">
        <v>73</v>
      </c>
      <c r="B74" s="5" t="s">
        <v>170</v>
      </c>
      <c r="C74" s="13" t="s">
        <v>171</v>
      </c>
      <c r="D74" s="12">
        <v>12</v>
      </c>
    </row>
    <row r="75" spans="1:4">
      <c r="A75" s="12">
        <v>74</v>
      </c>
      <c r="B75" s="5" t="s">
        <v>172</v>
      </c>
      <c r="C75" s="13" t="s">
        <v>173</v>
      </c>
      <c r="D75" s="12">
        <v>11</v>
      </c>
    </row>
    <row r="76" spans="1:4">
      <c r="A76" s="12">
        <v>75</v>
      </c>
      <c r="B76" s="5" t="s">
        <v>174</v>
      </c>
      <c r="C76" s="13" t="s">
        <v>175</v>
      </c>
      <c r="D76" s="12">
        <v>12</v>
      </c>
    </row>
    <row r="77" spans="1:4">
      <c r="A77" s="12">
        <v>76</v>
      </c>
      <c r="B77" s="5" t="s">
        <v>176</v>
      </c>
      <c r="C77" s="13" t="s">
        <v>177</v>
      </c>
      <c r="D77" s="12">
        <v>11</v>
      </c>
    </row>
    <row r="78" spans="1:4">
      <c r="A78" s="12">
        <v>77</v>
      </c>
      <c r="B78" s="5" t="s">
        <v>178</v>
      </c>
      <c r="C78" s="13" t="s">
        <v>179</v>
      </c>
      <c r="D78" s="12">
        <v>11</v>
      </c>
    </row>
    <row r="79" spans="1:4">
      <c r="A79" s="12">
        <v>78</v>
      </c>
      <c r="B79" s="5" t="s">
        <v>180</v>
      </c>
      <c r="C79" s="13" t="s">
        <v>181</v>
      </c>
      <c r="D79" s="12">
        <v>11</v>
      </c>
    </row>
    <row r="80" spans="1:4">
      <c r="A80" s="12">
        <v>79</v>
      </c>
      <c r="B80" s="5" t="s">
        <v>182</v>
      </c>
      <c r="C80" s="13" t="s">
        <v>183</v>
      </c>
      <c r="D80" s="12">
        <v>11</v>
      </c>
    </row>
    <row r="81" spans="1:4">
      <c r="A81" s="12">
        <v>80</v>
      </c>
      <c r="B81" s="5" t="s">
        <v>184</v>
      </c>
      <c r="C81" s="13" t="s">
        <v>185</v>
      </c>
      <c r="D81" s="12">
        <v>12</v>
      </c>
    </row>
    <row r="82" spans="1:4">
      <c r="A82" s="12">
        <v>81</v>
      </c>
      <c r="B82" s="5" t="s">
        <v>186</v>
      </c>
      <c r="C82" s="13" t="s">
        <v>187</v>
      </c>
      <c r="D82" s="12">
        <v>11</v>
      </c>
    </row>
    <row r="83" spans="1:4">
      <c r="A83" s="12">
        <v>82</v>
      </c>
      <c r="B83" s="5" t="s">
        <v>188</v>
      </c>
      <c r="C83" s="13" t="s">
        <v>189</v>
      </c>
      <c r="D83" s="12">
        <v>11</v>
      </c>
    </row>
    <row r="84" spans="1:4">
      <c r="A84" s="12">
        <v>83</v>
      </c>
      <c r="B84" s="5" t="s">
        <v>190</v>
      </c>
      <c r="C84" s="13" t="s">
        <v>191</v>
      </c>
      <c r="D84" s="12">
        <v>12</v>
      </c>
    </row>
    <row r="85" spans="1:4">
      <c r="A85" s="12">
        <v>84</v>
      </c>
      <c r="B85" s="5" t="s">
        <v>192</v>
      </c>
      <c r="C85" s="13" t="s">
        <v>193</v>
      </c>
      <c r="D85" s="12">
        <v>12</v>
      </c>
    </row>
    <row r="86" ht="30" spans="1:4">
      <c r="A86" s="12">
        <v>85</v>
      </c>
      <c r="B86" s="5" t="s">
        <v>194</v>
      </c>
      <c r="C86" s="13" t="s">
        <v>195</v>
      </c>
      <c r="D86" s="12">
        <v>11</v>
      </c>
    </row>
    <row r="87" spans="1:4">
      <c r="A87" s="12">
        <v>86</v>
      </c>
      <c r="B87" s="5" t="s">
        <v>196</v>
      </c>
      <c r="C87" s="13" t="s">
        <v>197</v>
      </c>
      <c r="D87" s="12">
        <v>11</v>
      </c>
    </row>
    <row r="88" spans="1:4">
      <c r="A88" s="12">
        <v>87</v>
      </c>
      <c r="B88" s="5" t="s">
        <v>198</v>
      </c>
      <c r="C88" s="13" t="s">
        <v>199</v>
      </c>
      <c r="D88" s="12">
        <v>11</v>
      </c>
    </row>
    <row r="89" spans="1:4">
      <c r="A89" s="12">
        <v>88</v>
      </c>
      <c r="B89" s="5" t="s">
        <v>200</v>
      </c>
      <c r="C89" s="13" t="s">
        <v>201</v>
      </c>
      <c r="D89" s="12">
        <v>11</v>
      </c>
    </row>
    <row r="90" ht="30" spans="1:4">
      <c r="A90" s="12">
        <v>89</v>
      </c>
      <c r="B90" s="5" t="s">
        <v>202</v>
      </c>
      <c r="C90" s="13" t="s">
        <v>203</v>
      </c>
      <c r="D90" s="12">
        <v>11</v>
      </c>
    </row>
    <row r="91" spans="1:4">
      <c r="A91" s="12">
        <v>90</v>
      </c>
      <c r="B91" s="5" t="s">
        <v>204</v>
      </c>
      <c r="C91" s="13" t="s">
        <v>205</v>
      </c>
      <c r="D91" s="12">
        <v>11</v>
      </c>
    </row>
    <row r="92" spans="1:4">
      <c r="A92" s="12">
        <v>91</v>
      </c>
      <c r="B92" s="5" t="s">
        <v>206</v>
      </c>
      <c r="C92" s="13" t="s">
        <v>207</v>
      </c>
      <c r="D92" s="12">
        <v>11</v>
      </c>
    </row>
    <row r="93" spans="1:4">
      <c r="A93" s="12">
        <v>92</v>
      </c>
      <c r="B93" s="5" t="s">
        <v>208</v>
      </c>
      <c r="C93" s="13" t="s">
        <v>209</v>
      </c>
      <c r="D93" s="12">
        <v>11</v>
      </c>
    </row>
    <row r="94" spans="1:4">
      <c r="A94" s="12">
        <v>93</v>
      </c>
      <c r="B94" s="5" t="s">
        <v>210</v>
      </c>
      <c r="C94" s="13" t="s">
        <v>211</v>
      </c>
      <c r="D94" s="12">
        <v>12</v>
      </c>
    </row>
    <row r="95" spans="1:4">
      <c r="A95" s="12">
        <v>94</v>
      </c>
      <c r="B95" s="5" t="s">
        <v>212</v>
      </c>
      <c r="C95" s="13" t="s">
        <v>213</v>
      </c>
      <c r="D95" s="12">
        <v>11</v>
      </c>
    </row>
    <row r="96" spans="1:4">
      <c r="A96" s="12">
        <v>95</v>
      </c>
      <c r="B96" s="5" t="s">
        <v>214</v>
      </c>
      <c r="C96" s="13" t="s">
        <v>215</v>
      </c>
      <c r="D96" s="12">
        <v>12</v>
      </c>
    </row>
    <row r="97" spans="1:4">
      <c r="A97" s="12">
        <v>96</v>
      </c>
      <c r="B97" s="5" t="s">
        <v>216</v>
      </c>
      <c r="C97" s="13" t="s">
        <v>217</v>
      </c>
      <c r="D97" s="12">
        <v>12</v>
      </c>
    </row>
    <row r="98" ht="30" spans="1:4">
      <c r="A98" s="12">
        <v>97</v>
      </c>
      <c r="B98" s="5" t="s">
        <v>218</v>
      </c>
      <c r="C98" s="13" t="s">
        <v>219</v>
      </c>
      <c r="D98" s="12">
        <v>12</v>
      </c>
    </row>
    <row r="99" spans="1:4">
      <c r="A99" s="12">
        <v>98</v>
      </c>
      <c r="B99" s="5" t="s">
        <v>220</v>
      </c>
      <c r="C99" s="13" t="s">
        <v>221</v>
      </c>
      <c r="D99" s="12">
        <v>11</v>
      </c>
    </row>
    <row r="100" spans="1:4">
      <c r="A100" s="12">
        <v>99</v>
      </c>
      <c r="B100" s="5" t="s">
        <v>222</v>
      </c>
      <c r="C100" s="13" t="s">
        <v>223</v>
      </c>
      <c r="D100" s="12">
        <v>11</v>
      </c>
    </row>
    <row r="101" spans="1:4">
      <c r="A101" s="12">
        <v>100</v>
      </c>
      <c r="B101" s="5" t="s">
        <v>224</v>
      </c>
      <c r="C101" s="13" t="s">
        <v>225</v>
      </c>
      <c r="D101" s="12">
        <v>11</v>
      </c>
    </row>
    <row r="102" spans="1:4">
      <c r="A102" s="12">
        <v>101</v>
      </c>
      <c r="B102" s="5" t="s">
        <v>226</v>
      </c>
      <c r="C102" s="13" t="s">
        <v>227</v>
      </c>
      <c r="D102" s="12">
        <v>11</v>
      </c>
    </row>
    <row r="103" spans="1:4">
      <c r="A103" s="12">
        <v>102</v>
      </c>
      <c r="B103" s="5" t="s">
        <v>228</v>
      </c>
      <c r="C103" s="13" t="s">
        <v>229</v>
      </c>
      <c r="D103" s="12">
        <v>12</v>
      </c>
    </row>
    <row r="104" spans="1:4">
      <c r="A104" s="12">
        <v>103</v>
      </c>
      <c r="B104" s="5" t="s">
        <v>230</v>
      </c>
      <c r="C104" s="13" t="s">
        <v>231</v>
      </c>
      <c r="D104" s="12">
        <v>12</v>
      </c>
    </row>
    <row r="105" spans="1:4">
      <c r="A105" s="12">
        <v>104</v>
      </c>
      <c r="B105" s="5" t="s">
        <v>232</v>
      </c>
      <c r="C105" s="13" t="s">
        <v>233</v>
      </c>
      <c r="D105" s="12">
        <v>11</v>
      </c>
    </row>
    <row r="106" spans="1:4">
      <c r="A106" s="12">
        <v>105</v>
      </c>
      <c r="B106" s="5" t="s">
        <v>234</v>
      </c>
      <c r="C106" s="13" t="s">
        <v>235</v>
      </c>
      <c r="D106" s="12">
        <v>11</v>
      </c>
    </row>
    <row r="107" spans="1:4">
      <c r="A107" s="12">
        <v>106</v>
      </c>
      <c r="B107" s="5" t="s">
        <v>236</v>
      </c>
      <c r="C107" s="13" t="s">
        <v>237</v>
      </c>
      <c r="D107" s="12">
        <v>11</v>
      </c>
    </row>
    <row r="108" spans="1:4">
      <c r="A108" s="12">
        <v>107</v>
      </c>
      <c r="B108" s="5" t="s">
        <v>238</v>
      </c>
      <c r="C108" s="13" t="s">
        <v>239</v>
      </c>
      <c r="D108" s="12">
        <v>11</v>
      </c>
    </row>
    <row r="109" spans="1:4">
      <c r="A109" s="12">
        <v>108</v>
      </c>
      <c r="B109" s="5" t="s">
        <v>240</v>
      </c>
      <c r="C109" s="13" t="s">
        <v>241</v>
      </c>
      <c r="D109" s="12">
        <v>12</v>
      </c>
    </row>
    <row r="110" spans="1:4">
      <c r="A110" s="12">
        <v>109</v>
      </c>
      <c r="B110" s="5" t="s">
        <v>242</v>
      </c>
      <c r="C110" s="13" t="s">
        <v>243</v>
      </c>
      <c r="D110" s="12">
        <v>11</v>
      </c>
    </row>
    <row r="111" spans="1:4">
      <c r="A111" s="12">
        <v>110</v>
      </c>
      <c r="B111" s="5" t="s">
        <v>244</v>
      </c>
      <c r="C111" s="13" t="s">
        <v>245</v>
      </c>
      <c r="D111" s="12">
        <v>11</v>
      </c>
    </row>
    <row r="112" spans="1:4">
      <c r="A112" s="12">
        <v>111</v>
      </c>
      <c r="B112" s="5" t="s">
        <v>246</v>
      </c>
      <c r="C112" s="13" t="s">
        <v>247</v>
      </c>
      <c r="D112" s="12">
        <v>11</v>
      </c>
    </row>
    <row r="113" ht="30" spans="1:4">
      <c r="A113" s="12">
        <v>112</v>
      </c>
      <c r="B113" s="5" t="s">
        <v>248</v>
      </c>
      <c r="C113" s="13" t="s">
        <v>249</v>
      </c>
      <c r="D113" s="12">
        <v>11</v>
      </c>
    </row>
    <row r="114" spans="1:4">
      <c r="A114" s="12">
        <v>113</v>
      </c>
      <c r="B114" s="5" t="s">
        <v>250</v>
      </c>
      <c r="C114" s="13" t="s">
        <v>251</v>
      </c>
      <c r="D114" s="12">
        <v>11</v>
      </c>
    </row>
    <row r="115" spans="1:4">
      <c r="A115" s="12">
        <v>114</v>
      </c>
      <c r="B115" s="5" t="s">
        <v>252</v>
      </c>
      <c r="C115" s="13" t="s">
        <v>253</v>
      </c>
      <c r="D115" s="12">
        <v>12</v>
      </c>
    </row>
    <row r="116" spans="1:4">
      <c r="A116" s="12">
        <v>115</v>
      </c>
      <c r="B116" s="5" t="s">
        <v>254</v>
      </c>
      <c r="C116" s="13" t="s">
        <v>255</v>
      </c>
      <c r="D116" s="12">
        <v>11</v>
      </c>
    </row>
    <row r="117" spans="1:4">
      <c r="A117" s="12">
        <v>116</v>
      </c>
      <c r="B117" s="5" t="s">
        <v>256</v>
      </c>
      <c r="C117" s="13" t="s">
        <v>257</v>
      </c>
      <c r="D117" s="12">
        <v>12</v>
      </c>
    </row>
    <row r="118" spans="1:4">
      <c r="A118" s="12">
        <v>117</v>
      </c>
      <c r="B118" s="5" t="s">
        <v>258</v>
      </c>
      <c r="C118" s="13" t="s">
        <v>259</v>
      </c>
      <c r="D118" s="12">
        <v>11</v>
      </c>
    </row>
    <row r="119" spans="1:4">
      <c r="A119" s="12">
        <v>118</v>
      </c>
      <c r="B119" s="5" t="s">
        <v>260</v>
      </c>
      <c r="C119" s="13" t="s">
        <v>261</v>
      </c>
      <c r="D119" s="12">
        <v>11</v>
      </c>
    </row>
    <row r="120" spans="1:4">
      <c r="A120" s="12">
        <v>119</v>
      </c>
      <c r="B120" s="5" t="s">
        <v>262</v>
      </c>
      <c r="C120" s="13" t="s">
        <v>263</v>
      </c>
      <c r="D120" s="12">
        <v>11</v>
      </c>
    </row>
    <row r="121" spans="1:4">
      <c r="A121" s="12">
        <v>120</v>
      </c>
      <c r="B121" s="5" t="s">
        <v>264</v>
      </c>
      <c r="C121" s="13" t="s">
        <v>265</v>
      </c>
      <c r="D121" s="12">
        <v>11</v>
      </c>
    </row>
    <row r="122" spans="1:4">
      <c r="A122" s="12">
        <v>121</v>
      </c>
      <c r="B122" s="5" t="s">
        <v>266</v>
      </c>
      <c r="C122" s="13" t="s">
        <v>267</v>
      </c>
      <c r="D122" s="12">
        <v>11</v>
      </c>
    </row>
    <row r="123" spans="1:4">
      <c r="A123" s="12">
        <v>122</v>
      </c>
      <c r="B123" s="5" t="s">
        <v>268</v>
      </c>
      <c r="C123" s="13" t="s">
        <v>269</v>
      </c>
      <c r="D123" s="12">
        <v>12</v>
      </c>
    </row>
    <row r="124" spans="1:4">
      <c r="A124" s="12">
        <v>123</v>
      </c>
      <c r="B124" s="5" t="s">
        <v>270</v>
      </c>
      <c r="C124" s="13" t="s">
        <v>271</v>
      </c>
      <c r="D124" s="12">
        <v>11</v>
      </c>
    </row>
    <row r="125" spans="1:4">
      <c r="A125" s="12">
        <v>124</v>
      </c>
      <c r="B125" s="5" t="s">
        <v>272</v>
      </c>
      <c r="C125" s="13" t="s">
        <v>273</v>
      </c>
      <c r="D125" s="12">
        <v>11</v>
      </c>
    </row>
    <row r="126" spans="1:4">
      <c r="A126" s="12">
        <v>125</v>
      </c>
      <c r="B126" s="5" t="s">
        <v>274</v>
      </c>
      <c r="C126" s="13" t="s">
        <v>275</v>
      </c>
      <c r="D126" s="12">
        <v>11</v>
      </c>
    </row>
    <row r="127" spans="1:4">
      <c r="A127" s="12">
        <v>126</v>
      </c>
      <c r="B127" s="5" t="s">
        <v>276</v>
      </c>
      <c r="C127" s="13" t="s">
        <v>277</v>
      </c>
      <c r="D127" s="12">
        <v>11</v>
      </c>
    </row>
    <row r="128" spans="1:4">
      <c r="A128" s="12">
        <v>127</v>
      </c>
      <c r="B128" s="5" t="s">
        <v>278</v>
      </c>
      <c r="C128" s="13" t="s">
        <v>279</v>
      </c>
      <c r="D128" s="12">
        <v>11</v>
      </c>
    </row>
    <row r="129" spans="1:4">
      <c r="A129" s="12">
        <v>128</v>
      </c>
      <c r="B129" s="5" t="s">
        <v>280</v>
      </c>
      <c r="C129" s="13" t="s">
        <v>281</v>
      </c>
      <c r="D129" s="12">
        <v>12</v>
      </c>
    </row>
    <row r="130" spans="1:4">
      <c r="A130" s="12">
        <v>129</v>
      </c>
      <c r="B130" s="5" t="s">
        <v>282</v>
      </c>
      <c r="C130" s="13" t="s">
        <v>283</v>
      </c>
      <c r="D130" s="12">
        <v>12</v>
      </c>
    </row>
    <row r="131" ht="30" spans="1:4">
      <c r="A131" s="12">
        <v>130</v>
      </c>
      <c r="B131" s="5" t="s">
        <v>284</v>
      </c>
      <c r="C131" s="13" t="s">
        <v>285</v>
      </c>
      <c r="D131" s="12">
        <v>12</v>
      </c>
    </row>
    <row r="132" spans="1:4">
      <c r="A132" s="12">
        <v>131</v>
      </c>
      <c r="B132" s="5" t="s">
        <v>286</v>
      </c>
      <c r="C132" s="13" t="s">
        <v>287</v>
      </c>
      <c r="D132" s="12">
        <v>12</v>
      </c>
    </row>
    <row r="133" spans="1:4">
      <c r="A133" s="12">
        <v>132</v>
      </c>
      <c r="B133" s="5" t="s">
        <v>288</v>
      </c>
      <c r="C133" s="13" t="s">
        <v>289</v>
      </c>
      <c r="D133" s="12">
        <v>11</v>
      </c>
    </row>
    <row r="134" spans="1:4">
      <c r="A134" s="12">
        <v>133</v>
      </c>
      <c r="B134" s="5" t="s">
        <v>290</v>
      </c>
      <c r="C134" s="13" t="s">
        <v>291</v>
      </c>
      <c r="D134" s="12">
        <v>0</v>
      </c>
    </row>
    <row r="135" ht="30" spans="1:4">
      <c r="A135" s="12">
        <v>134</v>
      </c>
      <c r="B135" s="5" t="s">
        <v>292</v>
      </c>
      <c r="C135" s="13" t="s">
        <v>293</v>
      </c>
      <c r="D135" s="12">
        <v>11</v>
      </c>
    </row>
    <row r="136" spans="1:4">
      <c r="A136" s="12">
        <v>135</v>
      </c>
      <c r="B136" s="5" t="s">
        <v>295</v>
      </c>
      <c r="C136" s="13" t="s">
        <v>296</v>
      </c>
      <c r="D136" s="12">
        <v>11</v>
      </c>
    </row>
    <row r="137" spans="1:4">
      <c r="A137" s="12">
        <v>136</v>
      </c>
      <c r="B137" s="5" t="s">
        <v>297</v>
      </c>
      <c r="C137" s="13" t="s">
        <v>298</v>
      </c>
      <c r="D137" s="12">
        <v>11</v>
      </c>
    </row>
    <row r="138" spans="1:4">
      <c r="A138" s="12">
        <v>137</v>
      </c>
      <c r="B138" s="5" t="s">
        <v>299</v>
      </c>
      <c r="C138" s="13" t="s">
        <v>300</v>
      </c>
      <c r="D138" s="12">
        <v>12</v>
      </c>
    </row>
    <row r="139" spans="1:4">
      <c r="A139" s="12">
        <v>138</v>
      </c>
      <c r="B139" s="5" t="s">
        <v>301</v>
      </c>
      <c r="C139" s="13" t="s">
        <v>302</v>
      </c>
      <c r="D139" s="12">
        <v>12</v>
      </c>
    </row>
    <row r="140" spans="1:4">
      <c r="A140" s="12">
        <v>139</v>
      </c>
      <c r="B140" s="5" t="s">
        <v>303</v>
      </c>
      <c r="C140" s="13" t="s">
        <v>304</v>
      </c>
      <c r="D140" s="12">
        <v>11</v>
      </c>
    </row>
    <row r="141" spans="1:4">
      <c r="A141" s="12">
        <v>140</v>
      </c>
      <c r="B141" s="5" t="s">
        <v>305</v>
      </c>
      <c r="C141" s="13" t="s">
        <v>306</v>
      </c>
      <c r="D141" s="12">
        <v>11</v>
      </c>
    </row>
    <row r="142" spans="1:4">
      <c r="A142" s="12">
        <v>141</v>
      </c>
      <c r="B142" s="5" t="s">
        <v>307</v>
      </c>
      <c r="C142" s="13" t="s">
        <v>308</v>
      </c>
      <c r="D142" s="12">
        <v>12</v>
      </c>
    </row>
    <row r="143" spans="1:4">
      <c r="A143" s="12">
        <v>142</v>
      </c>
      <c r="B143" s="5" t="s">
        <v>309</v>
      </c>
      <c r="C143" s="13" t="s">
        <v>310</v>
      </c>
      <c r="D143" s="12">
        <v>12</v>
      </c>
    </row>
    <row r="144" spans="1:4">
      <c r="A144" s="12">
        <v>143</v>
      </c>
      <c r="B144" s="5" t="s">
        <v>311</v>
      </c>
      <c r="C144" s="13" t="s">
        <v>312</v>
      </c>
      <c r="D144" s="12">
        <v>12</v>
      </c>
    </row>
    <row r="145" spans="1:4">
      <c r="A145" s="12">
        <v>144</v>
      </c>
      <c r="B145" s="5" t="s">
        <v>313</v>
      </c>
      <c r="C145" s="13" t="s">
        <v>314</v>
      </c>
      <c r="D145" s="12">
        <v>12</v>
      </c>
    </row>
    <row r="146" spans="1:4">
      <c r="A146" s="12">
        <v>145</v>
      </c>
      <c r="B146" s="5" t="s">
        <v>315</v>
      </c>
      <c r="C146" s="13" t="s">
        <v>316</v>
      </c>
      <c r="D146" s="12">
        <v>11</v>
      </c>
    </row>
    <row r="147" spans="1:4">
      <c r="A147" s="12">
        <v>146</v>
      </c>
      <c r="B147" s="5" t="s">
        <v>317</v>
      </c>
      <c r="C147" s="13" t="s">
        <v>318</v>
      </c>
      <c r="D147" s="12">
        <v>11</v>
      </c>
    </row>
    <row r="148" spans="1:4">
      <c r="A148" s="12">
        <v>147</v>
      </c>
      <c r="B148" s="5" t="s">
        <v>319</v>
      </c>
      <c r="C148" s="13" t="s">
        <v>320</v>
      </c>
      <c r="D148" s="12">
        <v>11</v>
      </c>
    </row>
    <row r="149" spans="1:4">
      <c r="A149" s="12">
        <v>148</v>
      </c>
      <c r="B149" s="5" t="s">
        <v>321</v>
      </c>
      <c r="C149" s="13" t="s">
        <v>322</v>
      </c>
      <c r="D149" s="12">
        <v>11</v>
      </c>
    </row>
    <row r="150" spans="1:4">
      <c r="A150" s="12">
        <v>149</v>
      </c>
      <c r="B150" s="5" t="s">
        <v>323</v>
      </c>
      <c r="C150" s="13" t="s">
        <v>324</v>
      </c>
      <c r="D150" s="12">
        <v>12</v>
      </c>
    </row>
    <row r="151" spans="1:4">
      <c r="A151" s="12">
        <v>150</v>
      </c>
      <c r="B151" s="5" t="s">
        <v>325</v>
      </c>
      <c r="C151" s="13" t="s">
        <v>326</v>
      </c>
      <c r="D151" s="12">
        <v>12</v>
      </c>
    </row>
    <row r="152" spans="1:4">
      <c r="A152" s="12">
        <v>151</v>
      </c>
      <c r="B152" s="5" t="s">
        <v>327</v>
      </c>
      <c r="C152" s="13" t="s">
        <v>328</v>
      </c>
      <c r="D152" s="12">
        <v>12</v>
      </c>
    </row>
    <row r="153" spans="1:4">
      <c r="A153" s="12">
        <v>152</v>
      </c>
      <c r="B153" s="5" t="s">
        <v>329</v>
      </c>
      <c r="C153" s="13" t="s">
        <v>330</v>
      </c>
      <c r="D153" s="12">
        <v>11</v>
      </c>
    </row>
    <row r="154" spans="1:4">
      <c r="A154" s="12">
        <v>153</v>
      </c>
      <c r="B154" s="5" t="s">
        <v>331</v>
      </c>
      <c r="C154" s="13" t="s">
        <v>332</v>
      </c>
      <c r="D154" s="12">
        <v>12</v>
      </c>
    </row>
    <row r="155" spans="1:4">
      <c r="A155" s="12">
        <v>154</v>
      </c>
      <c r="B155" s="5" t="s">
        <v>333</v>
      </c>
      <c r="C155" s="13" t="s">
        <v>334</v>
      </c>
      <c r="D155" s="12">
        <v>11</v>
      </c>
    </row>
    <row r="156" spans="1:4">
      <c r="A156" s="12">
        <v>155</v>
      </c>
      <c r="B156" s="5" t="s">
        <v>335</v>
      </c>
      <c r="C156" s="13" t="s">
        <v>336</v>
      </c>
      <c r="D156" s="12">
        <v>11</v>
      </c>
    </row>
    <row r="157" spans="1:4">
      <c r="A157" s="12">
        <v>156</v>
      </c>
      <c r="B157" s="5" t="s">
        <v>337</v>
      </c>
      <c r="C157" s="13" t="s">
        <v>338</v>
      </c>
      <c r="D157" s="12">
        <v>11</v>
      </c>
    </row>
    <row r="158" spans="1:4">
      <c r="A158" s="12">
        <v>157</v>
      </c>
      <c r="B158" s="5" t="s">
        <v>339</v>
      </c>
      <c r="C158" s="13" t="s">
        <v>340</v>
      </c>
      <c r="D158" s="12">
        <v>12</v>
      </c>
    </row>
    <row r="159" spans="1:4">
      <c r="A159" s="12">
        <v>158</v>
      </c>
      <c r="B159" s="5" t="s">
        <v>341</v>
      </c>
      <c r="C159" s="13" t="s">
        <v>342</v>
      </c>
      <c r="D159" s="12">
        <v>11</v>
      </c>
    </row>
    <row r="160" spans="1:4">
      <c r="A160" s="12">
        <v>159</v>
      </c>
      <c r="B160" s="5" t="s">
        <v>343</v>
      </c>
      <c r="C160" s="13" t="s">
        <v>344</v>
      </c>
      <c r="D160" s="12">
        <v>11</v>
      </c>
    </row>
    <row r="161" spans="1:4">
      <c r="A161" s="12">
        <v>160</v>
      </c>
      <c r="B161" s="5" t="s">
        <v>345</v>
      </c>
      <c r="C161" s="13" t="s">
        <v>346</v>
      </c>
      <c r="D161" s="12">
        <v>11</v>
      </c>
    </row>
    <row r="162" ht="30" spans="1:4">
      <c r="A162" s="12">
        <v>161</v>
      </c>
      <c r="B162" s="5" t="s">
        <v>347</v>
      </c>
      <c r="C162" s="13" t="s">
        <v>348</v>
      </c>
      <c r="D162" s="12">
        <v>11</v>
      </c>
    </row>
    <row r="163" spans="1:4">
      <c r="A163" s="12">
        <v>162</v>
      </c>
      <c r="B163" s="5" t="s">
        <v>349</v>
      </c>
      <c r="C163" s="13" t="s">
        <v>350</v>
      </c>
      <c r="D163" s="12">
        <v>11</v>
      </c>
    </row>
    <row r="164" spans="1:4">
      <c r="A164" s="12">
        <v>163</v>
      </c>
      <c r="B164" s="5" t="s">
        <v>351</v>
      </c>
      <c r="C164" s="13" t="s">
        <v>352</v>
      </c>
      <c r="D164" s="12">
        <v>11</v>
      </c>
    </row>
    <row r="165" spans="1:4">
      <c r="A165" s="12">
        <v>164</v>
      </c>
      <c r="B165" s="5" t="s">
        <v>353</v>
      </c>
      <c r="C165" s="13" t="s">
        <v>354</v>
      </c>
      <c r="D165" s="12">
        <v>12</v>
      </c>
    </row>
    <row r="166" ht="30" spans="1:4">
      <c r="A166" s="12">
        <v>165</v>
      </c>
      <c r="B166" s="5" t="s">
        <v>355</v>
      </c>
      <c r="C166" s="13" t="s">
        <v>356</v>
      </c>
      <c r="D166" s="12">
        <v>11</v>
      </c>
    </row>
    <row r="167" ht="30" spans="1:4">
      <c r="A167" s="12">
        <v>166</v>
      </c>
      <c r="B167" s="5" t="s">
        <v>357</v>
      </c>
      <c r="C167" s="13" t="s">
        <v>358</v>
      </c>
      <c r="D167" s="12">
        <v>12</v>
      </c>
    </row>
    <row r="168" spans="1:4">
      <c r="A168" s="12">
        <v>167</v>
      </c>
      <c r="B168" s="5" t="s">
        <v>359</v>
      </c>
      <c r="C168" s="13" t="s">
        <v>360</v>
      </c>
      <c r="D168" s="12">
        <v>12</v>
      </c>
    </row>
    <row r="169" spans="1:4">
      <c r="A169" s="12">
        <v>168</v>
      </c>
      <c r="B169" s="5" t="s">
        <v>361</v>
      </c>
      <c r="C169" s="13" t="s">
        <v>362</v>
      </c>
      <c r="D169" s="12">
        <v>11</v>
      </c>
    </row>
    <row r="170" spans="1:4">
      <c r="A170" s="12">
        <v>169</v>
      </c>
      <c r="B170" s="5" t="s">
        <v>363</v>
      </c>
      <c r="C170" s="13" t="s">
        <v>364</v>
      </c>
      <c r="D170" s="12">
        <v>11</v>
      </c>
    </row>
    <row r="171" spans="1:4">
      <c r="A171" s="12">
        <v>170</v>
      </c>
      <c r="B171" s="5" t="s">
        <v>365</v>
      </c>
      <c r="C171" s="13" t="s">
        <v>366</v>
      </c>
      <c r="D171" s="12">
        <v>11</v>
      </c>
    </row>
    <row r="172" spans="1:4">
      <c r="A172" s="12">
        <v>171</v>
      </c>
      <c r="B172" s="5" t="s">
        <v>367</v>
      </c>
      <c r="C172" s="13" t="s">
        <v>368</v>
      </c>
      <c r="D172" s="12">
        <v>12</v>
      </c>
    </row>
    <row r="173" spans="1:4">
      <c r="A173" s="12">
        <v>172</v>
      </c>
      <c r="B173" s="5" t="s">
        <v>369</v>
      </c>
      <c r="C173" s="13" t="s">
        <v>370</v>
      </c>
      <c r="D173" s="12">
        <v>12</v>
      </c>
    </row>
    <row r="174" spans="1:4">
      <c r="A174" s="12">
        <v>173</v>
      </c>
      <c r="B174" s="5" t="s">
        <v>371</v>
      </c>
      <c r="C174" s="13" t="s">
        <v>372</v>
      </c>
      <c r="D174" s="12">
        <v>12</v>
      </c>
    </row>
    <row r="175" spans="1:4">
      <c r="A175" s="12">
        <v>174</v>
      </c>
      <c r="B175" s="5" t="s">
        <v>373</v>
      </c>
      <c r="C175" s="13" t="s">
        <v>374</v>
      </c>
      <c r="D175" s="12">
        <v>12</v>
      </c>
    </row>
    <row r="176" spans="1:4">
      <c r="A176" s="12">
        <v>175</v>
      </c>
      <c r="B176" s="5" t="s">
        <v>375</v>
      </c>
      <c r="C176" s="13" t="s">
        <v>376</v>
      </c>
      <c r="D176" s="12">
        <v>11</v>
      </c>
    </row>
    <row r="177" spans="1:4">
      <c r="A177" s="12">
        <v>176</v>
      </c>
      <c r="B177" s="5" t="s">
        <v>377</v>
      </c>
      <c r="C177" s="13" t="s">
        <v>378</v>
      </c>
      <c r="D177" s="12">
        <v>11</v>
      </c>
    </row>
    <row r="178" spans="1:4">
      <c r="A178" s="12">
        <v>177</v>
      </c>
      <c r="B178" s="5" t="s">
        <v>379</v>
      </c>
      <c r="C178" s="13" t="s">
        <v>380</v>
      </c>
      <c r="D178" s="12">
        <v>11</v>
      </c>
    </row>
    <row r="179" spans="1:4">
      <c r="A179" s="12">
        <v>178</v>
      </c>
      <c r="B179" s="5" t="s">
        <v>381</v>
      </c>
      <c r="C179" s="13" t="s">
        <v>382</v>
      </c>
      <c r="D179" s="12">
        <v>12</v>
      </c>
    </row>
    <row r="180" spans="1:4">
      <c r="A180" s="12">
        <v>179</v>
      </c>
      <c r="B180" s="5" t="s">
        <v>383</v>
      </c>
      <c r="C180" s="13" t="s">
        <v>384</v>
      </c>
      <c r="D180" s="12">
        <v>11</v>
      </c>
    </row>
    <row r="181" ht="30" spans="1:4">
      <c r="A181" s="12">
        <v>180</v>
      </c>
      <c r="B181" s="5" t="s">
        <v>385</v>
      </c>
      <c r="C181" s="13" t="s">
        <v>386</v>
      </c>
      <c r="D181" s="12">
        <v>12</v>
      </c>
    </row>
    <row r="182" spans="1:4">
      <c r="A182" s="12">
        <v>181</v>
      </c>
      <c r="B182" s="5" t="s">
        <v>387</v>
      </c>
      <c r="C182" s="13" t="s">
        <v>388</v>
      </c>
      <c r="D182" s="12">
        <v>11</v>
      </c>
    </row>
    <row r="183" spans="1:4">
      <c r="A183" s="12">
        <v>182</v>
      </c>
      <c r="B183" s="5" t="s">
        <v>389</v>
      </c>
      <c r="C183" s="13" t="s">
        <v>390</v>
      </c>
      <c r="D183" s="12">
        <v>11</v>
      </c>
    </row>
    <row r="184" spans="1:4">
      <c r="A184" s="12">
        <v>183</v>
      </c>
      <c r="B184" s="5" t="s">
        <v>391</v>
      </c>
      <c r="C184" s="13" t="s">
        <v>392</v>
      </c>
      <c r="D184" s="12">
        <v>11</v>
      </c>
    </row>
    <row r="185" spans="1:4">
      <c r="A185" s="12">
        <v>184</v>
      </c>
      <c r="B185" s="5" t="s">
        <v>393</v>
      </c>
      <c r="C185" s="13" t="s">
        <v>394</v>
      </c>
      <c r="D185" s="12">
        <v>11</v>
      </c>
    </row>
    <row r="186" ht="30" spans="1:4">
      <c r="A186" s="12">
        <v>185</v>
      </c>
      <c r="B186" s="5" t="s">
        <v>395</v>
      </c>
      <c r="C186" s="13" t="s">
        <v>396</v>
      </c>
      <c r="D186" s="12">
        <v>11</v>
      </c>
    </row>
    <row r="187" spans="1:4">
      <c r="A187" s="12">
        <v>186</v>
      </c>
      <c r="B187" s="5" t="s">
        <v>397</v>
      </c>
      <c r="C187" s="13" t="s">
        <v>398</v>
      </c>
      <c r="D187" s="12">
        <v>11</v>
      </c>
    </row>
    <row r="188" spans="1:4">
      <c r="A188" s="12">
        <v>187</v>
      </c>
      <c r="B188" s="5" t="s">
        <v>399</v>
      </c>
      <c r="C188" s="13" t="s">
        <v>400</v>
      </c>
      <c r="D188" s="12">
        <v>11</v>
      </c>
    </row>
    <row r="189" spans="1:4">
      <c r="A189" s="12">
        <v>188</v>
      </c>
      <c r="B189" s="5" t="s">
        <v>401</v>
      </c>
      <c r="C189" s="13" t="s">
        <v>402</v>
      </c>
      <c r="D189" s="12">
        <v>11</v>
      </c>
    </row>
    <row r="190" spans="1:4">
      <c r="A190" s="12">
        <v>189</v>
      </c>
      <c r="B190" s="5" t="s">
        <v>403</v>
      </c>
      <c r="C190" s="13" t="s">
        <v>404</v>
      </c>
      <c r="D190" s="12">
        <v>11</v>
      </c>
    </row>
    <row r="191" spans="1:4">
      <c r="A191" s="12">
        <v>190</v>
      </c>
      <c r="B191" s="4" t="s">
        <v>405</v>
      </c>
      <c r="C191" s="14" t="s">
        <v>406</v>
      </c>
      <c r="D191" s="12">
        <v>12</v>
      </c>
    </row>
    <row r="192" spans="1:4">
      <c r="A192" s="12">
        <v>191</v>
      </c>
      <c r="B192" s="4" t="s">
        <v>407</v>
      </c>
      <c r="C192" s="14" t="s">
        <v>408</v>
      </c>
      <c r="D192" s="12">
        <v>12</v>
      </c>
    </row>
    <row r="193" spans="1:4">
      <c r="A193" s="12">
        <v>192</v>
      </c>
      <c r="B193" s="4" t="s">
        <v>409</v>
      </c>
      <c r="C193" s="14" t="s">
        <v>410</v>
      </c>
      <c r="D193" s="12"/>
    </row>
    <row r="194" spans="1:4">
      <c r="A194" s="12">
        <v>193</v>
      </c>
      <c r="B194" s="4" t="s">
        <v>411</v>
      </c>
      <c r="C194" s="14" t="s">
        <v>412</v>
      </c>
      <c r="D194" s="12">
        <v>12</v>
      </c>
    </row>
    <row r="195" spans="1:4">
      <c r="A195" s="12">
        <v>194</v>
      </c>
      <c r="B195" s="4" t="s">
        <v>413</v>
      </c>
      <c r="C195" s="14" t="s">
        <v>414</v>
      </c>
      <c r="D195" s="12">
        <v>11</v>
      </c>
    </row>
    <row r="196" spans="1:4">
      <c r="A196" s="12">
        <v>195</v>
      </c>
      <c r="B196" s="4" t="s">
        <v>415</v>
      </c>
      <c r="C196" s="14" t="s">
        <v>416</v>
      </c>
      <c r="D196" s="12">
        <v>12</v>
      </c>
    </row>
    <row r="197" spans="1:4">
      <c r="A197" s="12">
        <v>196</v>
      </c>
      <c r="B197" s="4" t="s">
        <v>417</v>
      </c>
      <c r="C197" s="14" t="s">
        <v>418</v>
      </c>
      <c r="D197" s="12">
        <v>12</v>
      </c>
    </row>
    <row r="198" spans="1:4">
      <c r="A198" s="12">
        <v>197</v>
      </c>
      <c r="B198" s="4" t="s">
        <v>419</v>
      </c>
      <c r="C198" s="14" t="s">
        <v>420</v>
      </c>
      <c r="D198" s="12"/>
    </row>
    <row r="199" spans="1:4">
      <c r="A199" s="12">
        <v>198</v>
      </c>
      <c r="B199" s="4" t="s">
        <v>421</v>
      </c>
      <c r="C199" s="14" t="s">
        <v>422</v>
      </c>
      <c r="D199" s="12"/>
    </row>
    <row r="200" ht="30" spans="1:4">
      <c r="A200" s="12">
        <v>199</v>
      </c>
      <c r="B200" s="4" t="s">
        <v>423</v>
      </c>
      <c r="C200" s="14" t="s">
        <v>424</v>
      </c>
      <c r="D200" s="12"/>
    </row>
    <row r="201" spans="1:4">
      <c r="A201" s="12">
        <v>200</v>
      </c>
      <c r="B201" s="4" t="s">
        <v>425</v>
      </c>
      <c r="C201" s="14" t="s">
        <v>426</v>
      </c>
      <c r="D201" s="12">
        <v>12</v>
      </c>
    </row>
    <row r="202" spans="1:4">
      <c r="A202" s="12">
        <v>201</v>
      </c>
      <c r="B202" s="4" t="s">
        <v>427</v>
      </c>
      <c r="C202" s="14" t="s">
        <v>428</v>
      </c>
      <c r="D202" s="12">
        <v>12</v>
      </c>
    </row>
    <row r="203" spans="1:4">
      <c r="A203" s="12">
        <v>202</v>
      </c>
      <c r="B203" s="4" t="s">
        <v>429</v>
      </c>
      <c r="C203" s="14" t="s">
        <v>430</v>
      </c>
      <c r="D203" s="12">
        <v>12</v>
      </c>
    </row>
    <row r="204" spans="1:4">
      <c r="A204" s="12">
        <v>203</v>
      </c>
      <c r="B204" s="4" t="s">
        <v>431</v>
      </c>
      <c r="C204" s="14" t="s">
        <v>432</v>
      </c>
      <c r="D204" s="12">
        <v>12</v>
      </c>
    </row>
    <row r="205" spans="1:4">
      <c r="A205" s="12">
        <v>204</v>
      </c>
      <c r="B205" s="4" t="s">
        <v>433</v>
      </c>
      <c r="C205" s="14" t="s">
        <v>434</v>
      </c>
      <c r="D205" s="12">
        <v>12</v>
      </c>
    </row>
    <row r="206" spans="1:4">
      <c r="A206" s="12">
        <v>205</v>
      </c>
      <c r="B206" s="4" t="s">
        <v>435</v>
      </c>
      <c r="C206" s="14" t="s">
        <v>436</v>
      </c>
      <c r="D206" s="12">
        <v>11</v>
      </c>
    </row>
    <row r="207" spans="1:4">
      <c r="A207" s="12">
        <v>206</v>
      </c>
      <c r="B207" s="4" t="s">
        <v>437</v>
      </c>
      <c r="C207" s="14" t="s">
        <v>438</v>
      </c>
      <c r="D207" s="12">
        <v>11</v>
      </c>
    </row>
    <row r="208" spans="1:4">
      <c r="A208" s="12">
        <v>207</v>
      </c>
      <c r="B208" s="4" t="s">
        <v>439</v>
      </c>
      <c r="C208" s="14" t="s">
        <v>440</v>
      </c>
      <c r="D208" s="12">
        <v>12</v>
      </c>
    </row>
    <row r="209" ht="30" spans="1:4">
      <c r="A209" s="12">
        <v>208</v>
      </c>
      <c r="B209" s="15" t="s">
        <v>480</v>
      </c>
      <c r="C209" s="16" t="s">
        <v>481</v>
      </c>
      <c r="D209" s="12">
        <v>12</v>
      </c>
    </row>
    <row r="210" spans="1:4">
      <c r="A210" s="12">
        <v>209</v>
      </c>
      <c r="B210" s="15" t="s">
        <v>482</v>
      </c>
      <c r="C210" s="16" t="s">
        <v>483</v>
      </c>
      <c r="D210" s="12">
        <v>12</v>
      </c>
    </row>
    <row r="211" spans="4:4">
      <c r="D211" s="12"/>
    </row>
    <row r="212" spans="4:4">
      <c r="D212" s="12"/>
    </row>
    <row r="213" spans="4:4">
      <c r="D213" s="12"/>
    </row>
    <row r="214" spans="4:4">
      <c r="D214" s="12"/>
    </row>
    <row r="215" spans="4:4">
      <c r="D215" s="12"/>
    </row>
    <row r="216" spans="4:4">
      <c r="D216" s="12"/>
    </row>
    <row r="217" spans="4:4">
      <c r="D217" s="12"/>
    </row>
    <row r="218" spans="4:4">
      <c r="D218" s="12"/>
    </row>
  </sheetData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8"/>
  <sheetViews>
    <sheetView workbookViewId="0">
      <selection activeCell="N33" sqref="N33"/>
    </sheetView>
  </sheetViews>
  <sheetFormatPr defaultColWidth="9" defaultRowHeight="15" outlineLevelCol="1"/>
  <cols>
    <col min="1" max="1" width="13.1428571428571" customWidth="1"/>
    <col min="2" max="2" width="12.8571428571429" customWidth="1"/>
  </cols>
  <sheetData>
    <row r="1" spans="1:2">
      <c r="A1" t="s">
        <v>484</v>
      </c>
      <c r="B1" t="s">
        <v>485</v>
      </c>
    </row>
    <row r="2" spans="1:2">
      <c r="A2" s="10">
        <v>4</v>
      </c>
      <c r="B2" s="11">
        <v>1</v>
      </c>
    </row>
    <row r="3" spans="1:2">
      <c r="A3" s="10">
        <v>35</v>
      </c>
      <c r="B3" s="11">
        <v>3</v>
      </c>
    </row>
    <row r="4" spans="1:2">
      <c r="A4" s="10">
        <v>37</v>
      </c>
      <c r="B4" s="11">
        <v>2</v>
      </c>
    </row>
    <row r="5" spans="1:2">
      <c r="A5" s="10">
        <v>38</v>
      </c>
      <c r="B5" s="11">
        <v>5</v>
      </c>
    </row>
    <row r="6" spans="1:2">
      <c r="A6" s="10">
        <v>39</v>
      </c>
      <c r="B6" s="11">
        <v>2</v>
      </c>
    </row>
    <row r="7" spans="1:2">
      <c r="A7" s="10">
        <v>40</v>
      </c>
      <c r="B7" s="11">
        <v>2</v>
      </c>
    </row>
    <row r="8" spans="1:2">
      <c r="A8" s="10">
        <v>41</v>
      </c>
      <c r="B8" s="11">
        <v>2</v>
      </c>
    </row>
    <row r="9" spans="1:2">
      <c r="A9" s="10">
        <v>42</v>
      </c>
      <c r="B9" s="11">
        <v>3</v>
      </c>
    </row>
    <row r="10" spans="1:2">
      <c r="A10" s="10">
        <v>43</v>
      </c>
      <c r="B10" s="11">
        <v>3</v>
      </c>
    </row>
    <row r="11" spans="1:2">
      <c r="A11" s="10">
        <v>44</v>
      </c>
      <c r="B11" s="11">
        <v>8</v>
      </c>
    </row>
    <row r="12" spans="1:2">
      <c r="A12" s="10">
        <v>45</v>
      </c>
      <c r="B12" s="11">
        <v>5</v>
      </c>
    </row>
    <row r="13" spans="1:2">
      <c r="A13" s="10">
        <v>46</v>
      </c>
      <c r="B13" s="11">
        <v>10</v>
      </c>
    </row>
    <row r="14" spans="1:2">
      <c r="A14" s="10">
        <v>47</v>
      </c>
      <c r="B14" s="11">
        <v>4</v>
      </c>
    </row>
    <row r="15" spans="1:2">
      <c r="A15" s="10">
        <v>48</v>
      </c>
      <c r="B15" s="11">
        <v>9</v>
      </c>
    </row>
    <row r="16" spans="1:2">
      <c r="A16" s="10">
        <v>49</v>
      </c>
      <c r="B16" s="11">
        <v>8</v>
      </c>
    </row>
    <row r="17" spans="1:2">
      <c r="A17" s="10">
        <v>50</v>
      </c>
      <c r="B17" s="11">
        <v>1</v>
      </c>
    </row>
    <row r="18" spans="1:2">
      <c r="A18" s="10" t="s">
        <v>486</v>
      </c>
      <c r="B18" s="11">
        <v>68</v>
      </c>
    </row>
  </sheetData>
  <pageMargins left="0.7" right="0.7" top="0.75" bottom="0.75" header="0.3" footer="0.3"/>
  <headerFooter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9"/>
  <sheetViews>
    <sheetView workbookViewId="0">
      <selection activeCell="F32" sqref="F32"/>
    </sheetView>
  </sheetViews>
  <sheetFormatPr defaultColWidth="9" defaultRowHeight="15" outlineLevelCol="2"/>
  <cols>
    <col min="2" max="2" width="23.1428571428571" customWidth="1"/>
    <col min="3" max="3" width="28.8571428571429" customWidth="1"/>
  </cols>
  <sheetData>
    <row r="1" spans="1:3">
      <c r="A1" s="1" t="s">
        <v>5</v>
      </c>
      <c r="B1" s="2" t="s">
        <v>6</v>
      </c>
      <c r="C1" s="3" t="s">
        <v>487</v>
      </c>
    </row>
    <row r="2" spans="1:3">
      <c r="A2" s="4">
        <v>129</v>
      </c>
      <c r="B2" s="5" t="s">
        <v>280</v>
      </c>
      <c r="C2" s="6">
        <v>44</v>
      </c>
    </row>
    <row r="3" spans="1:3">
      <c r="A3" s="4">
        <v>130</v>
      </c>
      <c r="B3" s="5" t="s">
        <v>282</v>
      </c>
      <c r="C3" s="6">
        <v>49</v>
      </c>
    </row>
    <row r="4" spans="1:3">
      <c r="A4" s="4">
        <v>131</v>
      </c>
      <c r="B4" s="5" t="s">
        <v>284</v>
      </c>
      <c r="C4" s="6">
        <v>44</v>
      </c>
    </row>
    <row r="5" spans="1:3">
      <c r="A5" s="4">
        <v>132</v>
      </c>
      <c r="B5" s="5" t="s">
        <v>286</v>
      </c>
      <c r="C5" s="6">
        <v>38</v>
      </c>
    </row>
    <row r="6" spans="1:3">
      <c r="A6" s="4">
        <v>133</v>
      </c>
      <c r="B6" s="5" t="s">
        <v>288</v>
      </c>
      <c r="C6" s="6">
        <v>46</v>
      </c>
    </row>
    <row r="7" spans="1:3">
      <c r="A7" s="4">
        <v>134</v>
      </c>
      <c r="B7" s="7" t="s">
        <v>290</v>
      </c>
      <c r="C7" s="8">
        <v>4</v>
      </c>
    </row>
    <row r="8" spans="1:3">
      <c r="A8" s="4">
        <v>135</v>
      </c>
      <c r="B8" s="5" t="s">
        <v>292</v>
      </c>
      <c r="C8" s="6">
        <v>37</v>
      </c>
    </row>
    <row r="9" spans="1:3">
      <c r="A9" s="4">
        <v>136</v>
      </c>
      <c r="B9" s="5" t="s">
        <v>295</v>
      </c>
      <c r="C9" s="6">
        <v>42</v>
      </c>
    </row>
    <row r="10" spans="1:3">
      <c r="A10" s="4">
        <v>137</v>
      </c>
      <c r="B10" s="5" t="s">
        <v>297</v>
      </c>
      <c r="C10" s="6">
        <v>45</v>
      </c>
    </row>
    <row r="11" spans="1:3">
      <c r="A11" s="4">
        <v>138</v>
      </c>
      <c r="B11" s="5" t="s">
        <v>299</v>
      </c>
      <c r="C11" s="6">
        <v>49</v>
      </c>
    </row>
    <row r="12" spans="1:3">
      <c r="A12" s="4">
        <v>139</v>
      </c>
      <c r="B12" s="5" t="s">
        <v>301</v>
      </c>
      <c r="C12" s="6">
        <v>48</v>
      </c>
    </row>
    <row r="13" spans="1:3">
      <c r="A13" s="4">
        <v>140</v>
      </c>
      <c r="B13" s="5" t="s">
        <v>303</v>
      </c>
      <c r="C13" s="6">
        <v>43</v>
      </c>
    </row>
    <row r="14" spans="1:3">
      <c r="A14" s="4">
        <v>141</v>
      </c>
      <c r="B14" s="5" t="s">
        <v>305</v>
      </c>
      <c r="C14" s="6">
        <v>48</v>
      </c>
    </row>
    <row r="15" spans="1:3">
      <c r="A15" s="4">
        <v>142</v>
      </c>
      <c r="B15" s="5" t="s">
        <v>307</v>
      </c>
      <c r="C15" s="6">
        <v>49</v>
      </c>
    </row>
    <row r="16" spans="1:3">
      <c r="A16" s="4">
        <v>143</v>
      </c>
      <c r="B16" s="5" t="s">
        <v>309</v>
      </c>
      <c r="C16" s="6">
        <v>49</v>
      </c>
    </row>
    <row r="17" spans="1:3">
      <c r="A17" s="4">
        <v>144</v>
      </c>
      <c r="B17" s="5" t="s">
        <v>311</v>
      </c>
      <c r="C17" s="6">
        <v>47</v>
      </c>
    </row>
    <row r="18" spans="1:3">
      <c r="A18" s="4">
        <v>145</v>
      </c>
      <c r="B18" s="5" t="s">
        <v>313</v>
      </c>
      <c r="C18" s="6">
        <v>48</v>
      </c>
    </row>
    <row r="19" spans="1:3">
      <c r="A19" s="4">
        <v>146</v>
      </c>
      <c r="B19" s="5" t="s">
        <v>315</v>
      </c>
      <c r="C19" s="6">
        <v>48</v>
      </c>
    </row>
    <row r="20" spans="1:3">
      <c r="A20" s="4">
        <v>147</v>
      </c>
      <c r="B20" s="5" t="s">
        <v>317</v>
      </c>
      <c r="C20" s="6">
        <v>43</v>
      </c>
    </row>
    <row r="21" spans="1:3">
      <c r="A21" s="4">
        <v>148</v>
      </c>
      <c r="B21" s="5" t="s">
        <v>319</v>
      </c>
      <c r="C21" s="6">
        <v>48</v>
      </c>
    </row>
    <row r="22" spans="1:3">
      <c r="A22" s="4">
        <v>149</v>
      </c>
      <c r="B22" s="5" t="s">
        <v>321</v>
      </c>
      <c r="C22" s="6">
        <v>47</v>
      </c>
    </row>
    <row r="23" spans="1:3">
      <c r="A23" s="4">
        <v>150</v>
      </c>
      <c r="B23" s="5" t="s">
        <v>323</v>
      </c>
      <c r="C23" s="6">
        <v>48</v>
      </c>
    </row>
    <row r="24" spans="1:3">
      <c r="A24" s="4">
        <v>151</v>
      </c>
      <c r="B24" s="5" t="s">
        <v>325</v>
      </c>
      <c r="C24" s="6">
        <v>49</v>
      </c>
    </row>
    <row r="25" spans="1:3">
      <c r="A25" s="4">
        <v>152</v>
      </c>
      <c r="B25" s="5" t="s">
        <v>327</v>
      </c>
      <c r="C25" s="6">
        <v>46</v>
      </c>
    </row>
    <row r="26" spans="1:3">
      <c r="A26" s="4">
        <v>153</v>
      </c>
      <c r="B26" s="5" t="s">
        <v>329</v>
      </c>
      <c r="C26" s="6">
        <v>46</v>
      </c>
    </row>
    <row r="27" spans="1:3">
      <c r="A27" s="4">
        <v>154</v>
      </c>
      <c r="B27" s="5" t="s">
        <v>331</v>
      </c>
      <c r="C27" s="6">
        <v>45</v>
      </c>
    </row>
    <row r="28" spans="1:3">
      <c r="A28" s="4">
        <v>155</v>
      </c>
      <c r="B28" s="5" t="s">
        <v>333</v>
      </c>
      <c r="C28" s="6">
        <v>41</v>
      </c>
    </row>
    <row r="29" spans="1:3">
      <c r="A29" s="4">
        <v>156</v>
      </c>
      <c r="B29" s="5" t="s">
        <v>335</v>
      </c>
      <c r="C29" s="6">
        <v>46</v>
      </c>
    </row>
    <row r="30" spans="1:3">
      <c r="A30" s="4">
        <v>157</v>
      </c>
      <c r="B30" s="5" t="s">
        <v>337</v>
      </c>
      <c r="C30" s="6">
        <v>49</v>
      </c>
    </row>
    <row r="31" spans="1:3">
      <c r="A31" s="4">
        <v>158</v>
      </c>
      <c r="B31" s="5" t="s">
        <v>339</v>
      </c>
      <c r="C31" s="6">
        <v>48</v>
      </c>
    </row>
    <row r="32" spans="1:3">
      <c r="A32" s="4">
        <v>159</v>
      </c>
      <c r="B32" s="5" t="s">
        <v>341</v>
      </c>
      <c r="C32" s="6">
        <v>43</v>
      </c>
    </row>
    <row r="33" spans="1:3">
      <c r="A33" s="4">
        <v>160</v>
      </c>
      <c r="B33" s="5" t="s">
        <v>343</v>
      </c>
      <c r="C33" s="6">
        <v>39</v>
      </c>
    </row>
    <row r="34" spans="1:3">
      <c r="A34" s="4">
        <v>161</v>
      </c>
      <c r="B34" s="5" t="s">
        <v>345</v>
      </c>
      <c r="C34" s="6">
        <v>45</v>
      </c>
    </row>
    <row r="35" spans="1:3">
      <c r="A35" s="4">
        <v>162</v>
      </c>
      <c r="B35" s="5" t="s">
        <v>347</v>
      </c>
      <c r="C35" s="6">
        <v>44</v>
      </c>
    </row>
    <row r="36" spans="1:3">
      <c r="A36" s="4">
        <v>163</v>
      </c>
      <c r="B36" s="5" t="s">
        <v>349</v>
      </c>
      <c r="C36" s="6">
        <v>44</v>
      </c>
    </row>
    <row r="37" spans="1:3">
      <c r="A37" s="4">
        <v>164</v>
      </c>
      <c r="B37" s="5" t="s">
        <v>351</v>
      </c>
      <c r="C37" s="6">
        <v>46</v>
      </c>
    </row>
    <row r="38" spans="1:3">
      <c r="A38" s="4">
        <v>165</v>
      </c>
      <c r="B38" s="5" t="s">
        <v>353</v>
      </c>
      <c r="C38" s="6">
        <v>44</v>
      </c>
    </row>
    <row r="39" spans="1:3">
      <c r="A39" s="4">
        <v>166</v>
      </c>
      <c r="B39" s="5" t="s">
        <v>355</v>
      </c>
      <c r="C39" s="6">
        <v>49</v>
      </c>
    </row>
    <row r="40" spans="1:3">
      <c r="A40" s="4">
        <v>167</v>
      </c>
      <c r="B40" s="5" t="s">
        <v>357</v>
      </c>
      <c r="C40" s="6">
        <v>48</v>
      </c>
    </row>
    <row r="41" spans="1:3">
      <c r="A41" s="4">
        <v>168</v>
      </c>
      <c r="B41" s="5" t="s">
        <v>359</v>
      </c>
      <c r="C41" s="6">
        <v>50</v>
      </c>
    </row>
    <row r="42" spans="1:3">
      <c r="A42" s="4">
        <v>169</v>
      </c>
      <c r="B42" s="5" t="s">
        <v>361</v>
      </c>
      <c r="C42" s="6">
        <v>45</v>
      </c>
    </row>
    <row r="43" spans="1:3">
      <c r="A43" s="4">
        <v>170</v>
      </c>
      <c r="B43" s="5" t="s">
        <v>363</v>
      </c>
      <c r="C43" s="6">
        <v>35</v>
      </c>
    </row>
    <row r="44" spans="1:3">
      <c r="A44" s="4">
        <v>171</v>
      </c>
      <c r="B44" s="5" t="s">
        <v>365</v>
      </c>
      <c r="C44" s="6">
        <v>48</v>
      </c>
    </row>
    <row r="45" spans="1:3">
      <c r="A45" s="4">
        <v>172</v>
      </c>
      <c r="B45" s="5" t="s">
        <v>367</v>
      </c>
      <c r="C45" s="6">
        <v>46</v>
      </c>
    </row>
    <row r="46" spans="1:3">
      <c r="A46" s="4">
        <v>173</v>
      </c>
      <c r="B46" s="5" t="s">
        <v>369</v>
      </c>
      <c r="C46" s="6">
        <v>35</v>
      </c>
    </row>
    <row r="47" spans="1:3">
      <c r="A47" s="4">
        <v>174</v>
      </c>
      <c r="B47" s="5" t="s">
        <v>371</v>
      </c>
      <c r="C47" s="6">
        <v>38</v>
      </c>
    </row>
    <row r="48" spans="1:3">
      <c r="A48" s="4">
        <v>175</v>
      </c>
      <c r="B48" s="5" t="s">
        <v>373</v>
      </c>
      <c r="C48" s="6">
        <v>47</v>
      </c>
    </row>
    <row r="49" spans="1:3">
      <c r="A49" s="4">
        <v>176</v>
      </c>
      <c r="B49" s="5" t="s">
        <v>375</v>
      </c>
      <c r="C49" s="6">
        <v>38</v>
      </c>
    </row>
    <row r="50" spans="1:3">
      <c r="A50" s="4">
        <v>177</v>
      </c>
      <c r="B50" s="5" t="s">
        <v>377</v>
      </c>
      <c r="C50" s="6">
        <v>46</v>
      </c>
    </row>
    <row r="51" spans="1:3">
      <c r="A51" s="4">
        <v>178</v>
      </c>
      <c r="B51" s="5" t="s">
        <v>379</v>
      </c>
      <c r="C51" s="6">
        <v>44</v>
      </c>
    </row>
    <row r="52" spans="1:3">
      <c r="A52" s="4">
        <v>179</v>
      </c>
      <c r="B52" s="5" t="s">
        <v>381</v>
      </c>
      <c r="C52" s="6">
        <v>47</v>
      </c>
    </row>
    <row r="53" spans="1:3">
      <c r="A53" s="4">
        <v>180</v>
      </c>
      <c r="B53" s="5" t="s">
        <v>383</v>
      </c>
      <c r="C53" s="6">
        <v>46</v>
      </c>
    </row>
    <row r="54" spans="1:3">
      <c r="A54" s="4">
        <v>181</v>
      </c>
      <c r="B54" s="5" t="s">
        <v>385</v>
      </c>
      <c r="C54" s="6">
        <v>46</v>
      </c>
    </row>
    <row r="55" spans="1:3">
      <c r="A55" s="4">
        <v>182</v>
      </c>
      <c r="B55" s="5" t="s">
        <v>387</v>
      </c>
      <c r="C55" s="6">
        <v>38</v>
      </c>
    </row>
    <row r="56" spans="1:3">
      <c r="A56" s="4">
        <v>183</v>
      </c>
      <c r="B56" s="5" t="s">
        <v>389</v>
      </c>
      <c r="C56" s="6">
        <v>45</v>
      </c>
    </row>
    <row r="57" spans="1:3">
      <c r="A57" s="4">
        <v>184</v>
      </c>
      <c r="B57" s="5" t="s">
        <v>391</v>
      </c>
      <c r="C57" s="6">
        <v>44</v>
      </c>
    </row>
    <row r="58" spans="1:3">
      <c r="A58" s="4">
        <v>185</v>
      </c>
      <c r="B58" s="5" t="s">
        <v>393</v>
      </c>
      <c r="C58" s="6">
        <v>42</v>
      </c>
    </row>
    <row r="59" spans="1:3">
      <c r="A59" s="4">
        <v>186</v>
      </c>
      <c r="B59" s="5" t="s">
        <v>395</v>
      </c>
      <c r="C59" s="6">
        <v>49</v>
      </c>
    </row>
    <row r="60" spans="1:3">
      <c r="A60" s="4">
        <v>187</v>
      </c>
      <c r="B60" s="5" t="s">
        <v>397</v>
      </c>
      <c r="C60" s="6">
        <v>40</v>
      </c>
    </row>
    <row r="61" spans="1:3">
      <c r="A61" s="4">
        <v>188</v>
      </c>
      <c r="B61" s="5" t="s">
        <v>399</v>
      </c>
      <c r="C61" s="6">
        <v>44</v>
      </c>
    </row>
    <row r="62" spans="1:3">
      <c r="A62" s="4">
        <v>189</v>
      </c>
      <c r="B62" s="5" t="s">
        <v>401</v>
      </c>
      <c r="C62" s="6">
        <v>35</v>
      </c>
    </row>
    <row r="63" spans="1:3">
      <c r="A63" s="4">
        <v>190</v>
      </c>
      <c r="B63" s="5" t="s">
        <v>403</v>
      </c>
      <c r="C63" s="6">
        <v>46</v>
      </c>
    </row>
    <row r="64" spans="1:3">
      <c r="A64" s="4">
        <v>192</v>
      </c>
      <c r="B64" s="4" t="s">
        <v>409</v>
      </c>
      <c r="C64" s="9">
        <v>39</v>
      </c>
    </row>
    <row r="65" spans="1:3">
      <c r="A65" s="4">
        <v>194</v>
      </c>
      <c r="B65" s="4" t="s">
        <v>413</v>
      </c>
      <c r="C65" s="9">
        <v>37</v>
      </c>
    </row>
    <row r="66" spans="1:3">
      <c r="A66" s="4">
        <v>200</v>
      </c>
      <c r="B66" s="4" t="s">
        <v>425</v>
      </c>
      <c r="C66" s="9">
        <v>42</v>
      </c>
    </row>
    <row r="67" spans="1:3">
      <c r="A67" s="4">
        <v>205</v>
      </c>
      <c r="B67" s="4" t="s">
        <v>435</v>
      </c>
      <c r="C67" s="9">
        <v>41</v>
      </c>
    </row>
    <row r="68" spans="1:3">
      <c r="A68" s="4">
        <v>206</v>
      </c>
      <c r="B68" s="4" t="s">
        <v>437</v>
      </c>
      <c r="C68" s="9">
        <v>40</v>
      </c>
    </row>
    <row r="69" spans="1:3">
      <c r="A69" s="4">
        <v>207</v>
      </c>
      <c r="B69" s="4" t="s">
        <v>439</v>
      </c>
      <c r="C69" s="9">
        <v>39</v>
      </c>
    </row>
  </sheetData>
  <pageMargins left="0.7" right="0.7" top="0.75" bottom="0.75" header="0.3" footer="0.3"/>
  <pageSetup paperSize="1" orientation="portrait" horizontalDpi="300" verticalDpi="300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M42" sqref="M42"/>
    </sheetView>
  </sheetViews>
  <sheetFormatPr defaultColWidth="9" defaultRowHeight="1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Theory Component</vt:lpstr>
      <vt:lpstr>Theory Component_Lab_modified</vt:lpstr>
      <vt:lpstr>Lab Component</vt:lpstr>
      <vt:lpstr>Lab_CIE</vt:lpstr>
      <vt:lpstr>Lab_CIA</vt:lpstr>
      <vt:lpstr>CIE+CIA</vt:lpstr>
      <vt:lpstr>TOTAL</vt:lpstr>
      <vt:lpstr>ATTENDANCE</vt:lpstr>
      <vt:lpstr>Sheet3</vt:lpstr>
      <vt:lpstr>C_Section_Marks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admin</cp:lastModifiedBy>
  <dcterms:created xsi:type="dcterms:W3CDTF">2006-09-16T00:00:00Z</dcterms:created>
  <cp:lastPrinted>2024-05-02T11:24:00Z</cp:lastPrinted>
  <dcterms:modified xsi:type="dcterms:W3CDTF">2025-06-10T05:21:29Z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259CF13F46474A67AD83818FF542E007_12</vt:lpwstr>
  </property>
  <property fmtid="{D5CDD505-2E9C-101B-9397-08002B2CF9AE}" pid="3" name="KSOProductBuildVer">
    <vt:lpwstr>1033-12.2.0.21179</vt:lpwstr>
  </property>
</Properties>
</file>